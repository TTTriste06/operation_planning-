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3 - 安全库存\"/>
    </mc:Choice>
  </mc:AlternateContent>
  <xr:revisionPtr revIDLastSave="0" documentId="13_ncr:1_{5811C104-8F5B-4D3B-AA3D-76EF6FA4FF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Sheet1!$A$1:$AQ$108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<sst xmlns="http://schemas.openxmlformats.org/spreadsheetml/2006/main" count="2572" uniqueCount="1651">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</sst>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2"/>
  <sheetViews>
    <sheetView tabSelected="1" workbookViewId="0">
      <pane xSplit="6" ySplit="1" topLeftCell="G101" activePane="bottomRight" state="frozen"/>
      <selection pane="topRight" activeCell="G1" sqref="G1"/>
      <selection pane="bottomLeft" activeCell="A2" sqref="A2"/>
      <selection pane="bottomRight" activeCell="D123" sqref="D123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s="3" t="s">
        <v>83</v>
      </c>
      <c r="B3" s="5"/>
      <c r="C3" s="3" t="s">
        <v>85</v>
      </c>
      <c r="D3" s="9"/>
      <c r="E3" s="9" t="s">
        <v>1535</v>
      </c>
      <c r="F3" s="4">
        <v>0</v>
      </c>
      <c r="G3" s="4">
        <v>2000000</v>
      </c>
      <c r="H3" s="3"/>
      <c r="I3" s="19">
        <v>2167000</v>
      </c>
      <c r="J3" s="19">
        <v>2167000</v>
      </c>
      <c r="K3" s="19">
        <v>2167000</v>
      </c>
      <c r="L3" s="19">
        <v>2167000</v>
      </c>
      <c r="M3" s="19">
        <v>2287000</v>
      </c>
      <c r="N3" s="19">
        <v>2287000</v>
      </c>
      <c r="O3" s="19">
        <f t="shared" ref="O3:O65" si="0">SUM(I3:N3)</f>
        <v>13242000</v>
      </c>
      <c r="P3" s="19">
        <v>1131000</v>
      </c>
      <c r="Q3" s="19">
        <v>213000</v>
      </c>
      <c r="R3" s="19">
        <v>720000</v>
      </c>
      <c r="S3" s="19">
        <v>360000</v>
      </c>
      <c r="T3" s="19">
        <v>582000</v>
      </c>
      <c r="U3" s="19">
        <v>1620000</v>
      </c>
      <c r="V3" s="19">
        <v>483000</v>
      </c>
      <c r="W3" s="19">
        <v>1211000</v>
      </c>
      <c r="X3" s="19">
        <v>879000</v>
      </c>
      <c r="Y3" s="19">
        <v>3016000</v>
      </c>
      <c r="Z3" s="19">
        <v>2915619</v>
      </c>
      <c r="AA3" s="19">
        <v>2261935</v>
      </c>
      <c r="AB3" s="19">
        <v>1020000</v>
      </c>
      <c r="AC3" s="19">
        <v>16412554</v>
      </c>
      <c r="AD3" s="19">
        <v>606000</v>
      </c>
      <c r="AE3" s="19">
        <v>1308000</v>
      </c>
      <c r="AF3" s="19">
        <v>840000</v>
      </c>
      <c r="AG3" s="19">
        <v>120000</v>
      </c>
      <c r="AH3" s="19">
        <v>582000</v>
      </c>
      <c r="AI3" s="19">
        <v>960000</v>
      </c>
      <c r="AJ3" s="19">
        <v>843000</v>
      </c>
      <c r="AK3" s="19">
        <v>1149000</v>
      </c>
      <c r="AL3" s="19">
        <v>1403601</v>
      </c>
      <c r="AM3" s="19">
        <v>2028000</v>
      </c>
      <c r="AN3" s="19">
        <v>3083619</v>
      </c>
      <c r="AO3" s="19">
        <v>2979935</v>
      </c>
      <c r="AP3" s="19">
        <v>1022845</v>
      </c>
      <c r="AQ3" s="19">
        <v>16926000</v>
      </c>
    </row>
    <row r="4" spans="1:43" x14ac:dyDescent="0.2">
      <c r="A4" s="3" t="s">
        <v>14</v>
      </c>
      <c r="B4" s="5"/>
      <c r="C4" s="3" t="s">
        <v>13</v>
      </c>
      <c r="D4" s="9"/>
      <c r="E4" s="9" t="s">
        <v>353</v>
      </c>
      <c r="F4" s="4">
        <v>0</v>
      </c>
      <c r="G4" s="4">
        <v>2000000</v>
      </c>
      <c r="H4" s="3"/>
      <c r="I4" s="19">
        <v>2400000</v>
      </c>
      <c r="J4" s="19">
        <v>3600000</v>
      </c>
      <c r="K4" s="19">
        <v>2100000</v>
      </c>
      <c r="L4" s="19">
        <v>2400000</v>
      </c>
      <c r="M4" s="19">
        <v>3800000</v>
      </c>
      <c r="N4" s="19">
        <v>3800000</v>
      </c>
      <c r="O4" s="19">
        <f t="shared" si="0"/>
        <v>18100000</v>
      </c>
      <c r="P4" s="19">
        <v>2000000</v>
      </c>
      <c r="Q4" s="19">
        <v>2065207</v>
      </c>
      <c r="R4" s="19">
        <v>0</v>
      </c>
      <c r="S4" s="19">
        <v>2000000</v>
      </c>
      <c r="T4" s="19">
        <v>3000000</v>
      </c>
      <c r="U4" s="19">
        <v>2095230</v>
      </c>
      <c r="V4" s="19">
        <v>700563</v>
      </c>
      <c r="W4" s="19">
        <v>0</v>
      </c>
      <c r="X4" s="19">
        <v>10789206</v>
      </c>
      <c r="Y4" s="19">
        <v>0</v>
      </c>
      <c r="Z4" s="19">
        <v>3000000</v>
      </c>
      <c r="AA4" s="19">
        <v>3000000</v>
      </c>
      <c r="AB4" s="19">
        <v>2998567</v>
      </c>
      <c r="AC4" s="19">
        <v>31648773</v>
      </c>
      <c r="AD4" s="19">
        <v>2048401</v>
      </c>
      <c r="AE4" s="19">
        <v>0</v>
      </c>
      <c r="AF4" s="19">
        <v>1233832</v>
      </c>
      <c r="AG4" s="19">
        <v>1435231</v>
      </c>
      <c r="AH4" s="19">
        <v>2179950</v>
      </c>
      <c r="AI4" s="19">
        <v>1471582</v>
      </c>
      <c r="AJ4" s="19">
        <v>0</v>
      </c>
      <c r="AK4" s="19">
        <v>2351630</v>
      </c>
      <c r="AL4" s="19">
        <v>3720115</v>
      </c>
      <c r="AM4" s="19">
        <v>2728598</v>
      </c>
      <c r="AN4" s="19">
        <v>4703370</v>
      </c>
      <c r="AO4" s="19">
        <v>7725214</v>
      </c>
      <c r="AP4" s="19">
        <v>700152</v>
      </c>
      <c r="AQ4" s="19">
        <v>30298075</v>
      </c>
    </row>
    <row r="5" spans="1:43" x14ac:dyDescent="0.2">
      <c r="A5" s="3" t="s">
        <v>122</v>
      </c>
      <c r="B5" s="5"/>
      <c r="C5" s="3" t="s">
        <v>121</v>
      </c>
      <c r="D5" s="9"/>
      <c r="E5" s="9" t="s">
        <v>1496</v>
      </c>
      <c r="F5" s="4">
        <v>150</v>
      </c>
      <c r="G5" s="4">
        <v>500000</v>
      </c>
      <c r="H5" s="3"/>
      <c r="I5" s="19">
        <v>854000</v>
      </c>
      <c r="J5" s="19">
        <v>1192500</v>
      </c>
      <c r="K5" s="19">
        <v>1429000</v>
      </c>
      <c r="L5" s="19">
        <v>1529000</v>
      </c>
      <c r="M5" s="19">
        <v>1527000</v>
      </c>
      <c r="N5" s="19">
        <v>1527000</v>
      </c>
      <c r="O5" s="19">
        <f t="shared" si="0"/>
        <v>8058500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21000</v>
      </c>
      <c r="X5" s="19">
        <v>258000</v>
      </c>
      <c r="Y5" s="19">
        <v>729000</v>
      </c>
      <c r="Z5" s="19">
        <v>691000</v>
      </c>
      <c r="AA5" s="19">
        <v>781000</v>
      </c>
      <c r="AB5" s="19">
        <v>379000</v>
      </c>
      <c r="AC5" s="19">
        <v>2859000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396000</v>
      </c>
      <c r="AL5" s="19">
        <v>363000</v>
      </c>
      <c r="AM5" s="19">
        <v>747000</v>
      </c>
      <c r="AN5" s="19">
        <v>831000</v>
      </c>
      <c r="AO5" s="19">
        <v>750000</v>
      </c>
      <c r="AP5" s="19">
        <v>195454</v>
      </c>
      <c r="AQ5" s="19">
        <v>3282454</v>
      </c>
    </row>
    <row r="6" spans="1:43" x14ac:dyDescent="0.2">
      <c r="A6" s="3" t="s">
        <v>132</v>
      </c>
      <c r="B6" s="5"/>
      <c r="C6" s="3" t="s">
        <v>131</v>
      </c>
      <c r="D6" s="9"/>
      <c r="E6" s="9" t="s">
        <v>1521</v>
      </c>
      <c r="F6" s="4">
        <v>75</v>
      </c>
      <c r="G6" s="4">
        <v>800000</v>
      </c>
      <c r="H6" s="3"/>
      <c r="I6" s="19">
        <v>830000</v>
      </c>
      <c r="J6" s="19">
        <v>830000</v>
      </c>
      <c r="K6" s="19">
        <v>840000</v>
      </c>
      <c r="L6" s="19">
        <v>840000</v>
      </c>
      <c r="M6" s="19">
        <v>840000</v>
      </c>
      <c r="N6" s="19">
        <v>840000</v>
      </c>
      <c r="O6" s="19">
        <f t="shared" si="0"/>
        <v>5020000</v>
      </c>
      <c r="P6" s="19">
        <v>458000</v>
      </c>
      <c r="Q6" s="19">
        <v>59000</v>
      </c>
      <c r="R6" s="19">
        <v>10000</v>
      </c>
      <c r="S6" s="19">
        <v>473000</v>
      </c>
      <c r="T6" s="19">
        <v>790000</v>
      </c>
      <c r="U6" s="19">
        <v>1092000</v>
      </c>
      <c r="V6" s="19">
        <v>526000</v>
      </c>
      <c r="W6" s="19">
        <v>232000</v>
      </c>
      <c r="X6" s="19">
        <v>644000</v>
      </c>
      <c r="Y6" s="19">
        <v>591000</v>
      </c>
      <c r="Z6" s="19">
        <v>640603</v>
      </c>
      <c r="AA6" s="19">
        <v>1048000</v>
      </c>
      <c r="AB6" s="19">
        <v>849000</v>
      </c>
      <c r="AC6" s="19">
        <v>7412603</v>
      </c>
      <c r="AD6" s="19">
        <v>398955</v>
      </c>
      <c r="AE6" s="19">
        <v>468453</v>
      </c>
      <c r="AF6" s="19">
        <v>386759</v>
      </c>
      <c r="AG6" s="19">
        <v>785496</v>
      </c>
      <c r="AH6" s="19">
        <v>535711</v>
      </c>
      <c r="AI6" s="19">
        <v>611121</v>
      </c>
      <c r="AJ6" s="19">
        <v>594015</v>
      </c>
      <c r="AK6" s="19">
        <v>250651</v>
      </c>
      <c r="AL6" s="19">
        <v>586419</v>
      </c>
      <c r="AM6" s="19">
        <v>513939</v>
      </c>
      <c r="AN6" s="19">
        <v>794557</v>
      </c>
      <c r="AO6" s="19">
        <v>785399</v>
      </c>
      <c r="AP6" s="19">
        <v>782088</v>
      </c>
      <c r="AQ6" s="19">
        <v>7493563</v>
      </c>
    </row>
    <row r="7" spans="1:43" x14ac:dyDescent="0.2">
      <c r="A7" s="3" t="s">
        <v>259</v>
      </c>
      <c r="B7" s="5"/>
      <c r="C7" s="3" t="s">
        <v>260</v>
      </c>
      <c r="D7" s="9"/>
      <c r="E7" s="9" t="s">
        <v>1524</v>
      </c>
      <c r="F7" s="4">
        <v>500</v>
      </c>
      <c r="G7" s="4">
        <v>500000</v>
      </c>
      <c r="H7" s="3"/>
      <c r="I7" s="19">
        <v>506000</v>
      </c>
      <c r="J7" s="19">
        <v>506000</v>
      </c>
      <c r="K7" s="19">
        <v>406000</v>
      </c>
      <c r="L7" s="19">
        <v>506000</v>
      </c>
      <c r="M7" s="19">
        <v>506000</v>
      </c>
      <c r="N7" s="19">
        <v>506000</v>
      </c>
      <c r="O7" s="19">
        <f t="shared" si="0"/>
        <v>2936000</v>
      </c>
      <c r="P7" s="19">
        <v>687000</v>
      </c>
      <c r="Q7" s="19">
        <v>804500</v>
      </c>
      <c r="R7" s="19">
        <v>803000</v>
      </c>
      <c r="S7" s="19">
        <v>807000</v>
      </c>
      <c r="T7" s="19">
        <v>339000</v>
      </c>
      <c r="U7" s="19">
        <v>819510</v>
      </c>
      <c r="V7" s="19">
        <v>216020</v>
      </c>
      <c r="W7" s="19">
        <v>510000</v>
      </c>
      <c r="X7" s="19">
        <v>1414053</v>
      </c>
      <c r="Y7" s="19">
        <v>420010</v>
      </c>
      <c r="Z7" s="19">
        <v>1200100</v>
      </c>
      <c r="AA7" s="19">
        <v>330001</v>
      </c>
      <c r="AB7" s="19">
        <v>330000</v>
      </c>
      <c r="AC7" s="19">
        <v>8680194</v>
      </c>
      <c r="AD7" s="19">
        <v>741000</v>
      </c>
      <c r="AE7" s="19">
        <v>738000</v>
      </c>
      <c r="AF7" s="19">
        <v>948000</v>
      </c>
      <c r="AG7" s="19">
        <v>739500</v>
      </c>
      <c r="AH7" s="19">
        <v>477000</v>
      </c>
      <c r="AI7" s="19">
        <v>850510</v>
      </c>
      <c r="AJ7" s="19">
        <v>640520</v>
      </c>
      <c r="AK7" s="19">
        <v>210000</v>
      </c>
      <c r="AL7" s="19">
        <v>1053930</v>
      </c>
      <c r="AM7" s="19">
        <v>420010</v>
      </c>
      <c r="AN7" s="19">
        <v>1150600</v>
      </c>
      <c r="AO7" s="19">
        <v>724501</v>
      </c>
      <c r="AP7" s="19">
        <v>351000</v>
      </c>
      <c r="AQ7" s="19">
        <v>9044571</v>
      </c>
    </row>
    <row r="8" spans="1:43" x14ac:dyDescent="0.2">
      <c r="A8" s="3" t="s">
        <v>11</v>
      </c>
      <c r="B8" s="5"/>
      <c r="C8" s="3" t="s">
        <v>10</v>
      </c>
      <c r="D8" s="9"/>
      <c r="E8" s="9" t="s">
        <v>530</v>
      </c>
      <c r="F8" s="4">
        <v>0</v>
      </c>
      <c r="G8" s="4">
        <v>1000000</v>
      </c>
      <c r="H8" s="3"/>
      <c r="I8" s="19">
        <v>1000000</v>
      </c>
      <c r="J8" s="19">
        <v>1200000</v>
      </c>
      <c r="K8" s="19">
        <v>2000000</v>
      </c>
      <c r="L8" s="19">
        <v>1200000</v>
      </c>
      <c r="M8" s="19">
        <v>2000000</v>
      </c>
      <c r="N8" s="19">
        <v>2000000</v>
      </c>
      <c r="O8" s="19">
        <f t="shared" si="0"/>
        <v>9400000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4063745</v>
      </c>
      <c r="Y8" s="19">
        <v>0</v>
      </c>
      <c r="Z8" s="19">
        <v>0</v>
      </c>
      <c r="AA8" s="19">
        <v>1118614</v>
      </c>
      <c r="AB8" s="19">
        <v>1000000</v>
      </c>
      <c r="AC8" s="19">
        <v>6182359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1463566</v>
      </c>
      <c r="AM8" s="19">
        <v>2011166</v>
      </c>
      <c r="AN8" s="19">
        <v>991719</v>
      </c>
      <c r="AO8" s="19">
        <v>1553638</v>
      </c>
      <c r="AP8" s="19">
        <v>162270</v>
      </c>
      <c r="AQ8" s="19">
        <v>6182359</v>
      </c>
    </row>
    <row r="9" spans="1:43" x14ac:dyDescent="0.2">
      <c r="A9" s="3"/>
      <c r="B9" s="5"/>
      <c r="C9" s="3"/>
      <c r="D9" s="9"/>
      <c r="E9" s="9" t="s">
        <v>1555</v>
      </c>
      <c r="F9" s="4"/>
      <c r="G9" s="4">
        <v>900000</v>
      </c>
      <c r="H9" s="3"/>
      <c r="I9" s="19"/>
      <c r="J9" s="19"/>
      <c r="K9" s="19"/>
      <c r="L9" s="19"/>
      <c r="M9" s="19"/>
      <c r="N9" s="19"/>
      <c r="O9" s="19">
        <f t="shared" si="0"/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100000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100000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90000</v>
      </c>
      <c r="AK9" s="19">
        <v>100000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190000</v>
      </c>
    </row>
    <row r="10" spans="1:43" ht="13.15" customHeight="1" x14ac:dyDescent="0.2">
      <c r="A10" s="3" t="s">
        <v>122</v>
      </c>
      <c r="B10" s="5"/>
      <c r="C10" s="3" t="s">
        <v>125</v>
      </c>
      <c r="D10" s="9"/>
      <c r="E10" s="9" t="s">
        <v>1556</v>
      </c>
      <c r="F10" s="4">
        <v>0</v>
      </c>
      <c r="G10" s="4"/>
      <c r="H10" s="3"/>
      <c r="I10" s="19">
        <v>320000</v>
      </c>
      <c r="J10" s="19">
        <v>320000</v>
      </c>
      <c r="K10" s="19">
        <v>380000</v>
      </c>
      <c r="L10" s="19">
        <v>380000</v>
      </c>
      <c r="M10" s="19">
        <v>392000</v>
      </c>
      <c r="N10" s="19">
        <v>392000</v>
      </c>
      <c r="O10" s="19">
        <f t="shared" si="0"/>
        <v>2184000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45000</v>
      </c>
      <c r="X10" s="19">
        <v>888595</v>
      </c>
      <c r="Y10" s="19">
        <v>3458405</v>
      </c>
      <c r="Z10" s="19">
        <v>1636430</v>
      </c>
      <c r="AA10" s="19">
        <v>121106</v>
      </c>
      <c r="AB10" s="19">
        <v>90445</v>
      </c>
      <c r="AC10" s="19">
        <v>6239981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333000</v>
      </c>
      <c r="AJ10" s="19">
        <v>0</v>
      </c>
      <c r="AK10" s="19">
        <v>1140000</v>
      </c>
      <c r="AL10" s="19">
        <v>1029000</v>
      </c>
      <c r="AM10" s="19">
        <v>2184857</v>
      </c>
      <c r="AN10" s="19">
        <v>2152430</v>
      </c>
      <c r="AO10" s="19">
        <v>847106</v>
      </c>
      <c r="AP10" s="19">
        <v>540445</v>
      </c>
      <c r="AQ10" s="19">
        <v>8226838</v>
      </c>
    </row>
    <row r="11" spans="1:43" x14ac:dyDescent="0.2">
      <c r="A11" s="3" t="s">
        <v>122</v>
      </c>
      <c r="B11" s="5"/>
      <c r="C11" s="3" t="s">
        <v>134</v>
      </c>
      <c r="D11" s="9"/>
      <c r="E11" s="9" t="s">
        <v>1557</v>
      </c>
      <c r="F11" s="4">
        <v>50</v>
      </c>
      <c r="G11" s="4">
        <v>1000000</v>
      </c>
      <c r="H11" s="3"/>
      <c r="I11" s="19">
        <v>994000</v>
      </c>
      <c r="J11" s="19">
        <v>1072000</v>
      </c>
      <c r="K11" s="19">
        <v>1226000</v>
      </c>
      <c r="L11" s="19">
        <v>1470000</v>
      </c>
      <c r="M11" s="19">
        <v>1464000</v>
      </c>
      <c r="N11" s="19">
        <v>1460000</v>
      </c>
      <c r="O11" s="19">
        <f t="shared" si="0"/>
        <v>7686000</v>
      </c>
      <c r="P11" s="19">
        <v>501000</v>
      </c>
      <c r="Q11" s="19">
        <v>600000</v>
      </c>
      <c r="R11" s="19">
        <v>600000</v>
      </c>
      <c r="S11" s="19">
        <v>2111000</v>
      </c>
      <c r="T11" s="19">
        <v>740986</v>
      </c>
      <c r="U11" s="19">
        <v>1951591</v>
      </c>
      <c r="V11" s="19">
        <v>603050</v>
      </c>
      <c r="W11" s="19">
        <v>610100</v>
      </c>
      <c r="X11" s="19">
        <v>806570</v>
      </c>
      <c r="Y11" s="19">
        <v>636030</v>
      </c>
      <c r="Z11" s="19">
        <v>924055</v>
      </c>
      <c r="AA11" s="19">
        <v>612000</v>
      </c>
      <c r="AB11" s="19">
        <v>72015</v>
      </c>
      <c r="AC11" s="19">
        <v>10768397</v>
      </c>
      <c r="AD11" s="19">
        <v>0</v>
      </c>
      <c r="AE11" s="19">
        <v>600000</v>
      </c>
      <c r="AF11" s="19">
        <v>840000</v>
      </c>
      <c r="AG11" s="19">
        <v>1107000</v>
      </c>
      <c r="AH11" s="19">
        <v>598986</v>
      </c>
      <c r="AI11" s="19">
        <v>2979000</v>
      </c>
      <c r="AJ11" s="19">
        <v>399050</v>
      </c>
      <c r="AK11" s="19">
        <v>504600</v>
      </c>
      <c r="AL11" s="19">
        <v>1254070</v>
      </c>
      <c r="AM11" s="19">
        <v>621030</v>
      </c>
      <c r="AN11" s="19">
        <v>927055</v>
      </c>
      <c r="AO11" s="19">
        <v>48000</v>
      </c>
      <c r="AP11" s="19">
        <v>636015</v>
      </c>
      <c r="AQ11" s="19">
        <v>10514806</v>
      </c>
    </row>
    <row r="12" spans="1:43" x14ac:dyDescent="0.2">
      <c r="A12" s="3" t="s">
        <v>122</v>
      </c>
      <c r="B12" s="5"/>
      <c r="C12" s="3" t="s">
        <v>150</v>
      </c>
      <c r="D12" s="9"/>
      <c r="E12" s="9" t="s">
        <v>1498</v>
      </c>
      <c r="F12" s="4">
        <v>0</v>
      </c>
      <c r="G12" s="4">
        <v>1000000</v>
      </c>
      <c r="H12" s="3"/>
      <c r="I12" s="19">
        <v>1200000</v>
      </c>
      <c r="J12" s="19">
        <v>1200000</v>
      </c>
      <c r="K12" s="19">
        <v>1200000</v>
      </c>
      <c r="L12" s="19">
        <v>1200000</v>
      </c>
      <c r="M12" s="19">
        <v>1200000</v>
      </c>
      <c r="N12" s="19">
        <v>1200000</v>
      </c>
      <c r="O12" s="19">
        <f t="shared" si="0"/>
        <v>7200000</v>
      </c>
      <c r="P12" s="19">
        <v>195103</v>
      </c>
      <c r="Q12" s="19">
        <v>0</v>
      </c>
      <c r="R12" s="19">
        <v>600000</v>
      </c>
      <c r="S12" s="19">
        <v>399998</v>
      </c>
      <c r="T12" s="19">
        <v>0</v>
      </c>
      <c r="U12" s="19">
        <v>600000</v>
      </c>
      <c r="V12" s="19">
        <v>0</v>
      </c>
      <c r="W12" s="19">
        <v>600000</v>
      </c>
      <c r="X12" s="19">
        <v>0</v>
      </c>
      <c r="Y12" s="19">
        <v>700000</v>
      </c>
      <c r="Z12" s="19">
        <v>1300000</v>
      </c>
      <c r="AA12" s="19">
        <v>0</v>
      </c>
      <c r="AB12" s="19">
        <v>700000</v>
      </c>
      <c r="AC12" s="19">
        <v>5095101</v>
      </c>
      <c r="AD12" s="19">
        <v>16866</v>
      </c>
      <c r="AE12" s="19">
        <v>98815</v>
      </c>
      <c r="AF12" s="19">
        <v>569409</v>
      </c>
      <c r="AG12" s="19">
        <v>159971</v>
      </c>
      <c r="AH12" s="19">
        <v>350040</v>
      </c>
      <c r="AI12" s="19">
        <v>600000</v>
      </c>
      <c r="AJ12" s="19">
        <v>0</v>
      </c>
      <c r="AK12" s="19">
        <v>600000</v>
      </c>
      <c r="AL12" s="19">
        <v>700000</v>
      </c>
      <c r="AM12" s="19">
        <v>0</v>
      </c>
      <c r="AN12" s="19">
        <v>228732</v>
      </c>
      <c r="AO12" s="19">
        <v>844172</v>
      </c>
      <c r="AP12" s="19">
        <v>764455</v>
      </c>
      <c r="AQ12" s="19">
        <v>4932460</v>
      </c>
    </row>
    <row r="13" spans="1:43" x14ac:dyDescent="0.2">
      <c r="A13" s="3" t="s">
        <v>259</v>
      </c>
      <c r="B13" s="5"/>
      <c r="C13" s="3" t="s">
        <v>262</v>
      </c>
      <c r="D13" s="9"/>
      <c r="E13" s="9" t="s">
        <v>434</v>
      </c>
      <c r="F13" s="4">
        <v>0</v>
      </c>
      <c r="G13" s="4">
        <v>800000</v>
      </c>
      <c r="H13" s="3"/>
      <c r="I13" s="19">
        <v>833570</v>
      </c>
      <c r="J13" s="19">
        <v>857970</v>
      </c>
      <c r="K13" s="19">
        <v>870370</v>
      </c>
      <c r="L13" s="19">
        <v>878850</v>
      </c>
      <c r="M13" s="19">
        <v>877330</v>
      </c>
      <c r="N13" s="19">
        <v>877330</v>
      </c>
      <c r="O13" s="19">
        <f t="shared" si="0"/>
        <v>5195420</v>
      </c>
      <c r="P13" s="19">
        <v>314000</v>
      </c>
      <c r="Q13" s="19">
        <v>530000</v>
      </c>
      <c r="R13" s="19">
        <v>329000</v>
      </c>
      <c r="S13" s="19">
        <v>389000</v>
      </c>
      <c r="T13" s="19">
        <v>751000</v>
      </c>
      <c r="U13" s="19">
        <v>935500</v>
      </c>
      <c r="V13" s="19">
        <v>70500</v>
      </c>
      <c r="W13" s="19">
        <v>618000</v>
      </c>
      <c r="X13" s="19">
        <v>697000</v>
      </c>
      <c r="Y13" s="19">
        <v>1758500</v>
      </c>
      <c r="Z13" s="19">
        <v>609000</v>
      </c>
      <c r="AA13" s="19">
        <v>1203000</v>
      </c>
      <c r="AB13" s="19">
        <v>600000</v>
      </c>
      <c r="AC13" s="19">
        <v>8804500</v>
      </c>
      <c r="AD13" s="19">
        <v>232500</v>
      </c>
      <c r="AE13" s="19">
        <v>432000</v>
      </c>
      <c r="AF13" s="19">
        <v>612000</v>
      </c>
      <c r="AG13" s="19">
        <v>241500</v>
      </c>
      <c r="AH13" s="19">
        <v>432000</v>
      </c>
      <c r="AI13" s="19">
        <v>862500</v>
      </c>
      <c r="AJ13" s="19">
        <v>1101000</v>
      </c>
      <c r="AK13" s="19">
        <v>99000</v>
      </c>
      <c r="AL13" s="19">
        <v>1120500</v>
      </c>
      <c r="AM13" s="19">
        <v>681000</v>
      </c>
      <c r="AN13" s="19">
        <v>1219500</v>
      </c>
      <c r="AO13" s="19">
        <v>1473000</v>
      </c>
      <c r="AP13" s="19">
        <v>214500</v>
      </c>
      <c r="AQ13" s="19">
        <v>8721000</v>
      </c>
    </row>
    <row r="14" spans="1:43" x14ac:dyDescent="0.2">
      <c r="A14" s="3" t="s">
        <v>30</v>
      </c>
      <c r="B14" s="5"/>
      <c r="C14" s="3" t="s">
        <v>38</v>
      </c>
      <c r="D14" s="9"/>
      <c r="E14" s="9" t="s">
        <v>1539</v>
      </c>
      <c r="F14" s="4">
        <v>0</v>
      </c>
      <c r="G14" s="4">
        <v>760000</v>
      </c>
      <c r="H14" s="3"/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f t="shared" si="0"/>
        <v>0</v>
      </c>
      <c r="P14" s="19">
        <v>0</v>
      </c>
      <c r="Q14" s="19">
        <v>0</v>
      </c>
      <c r="R14" s="19">
        <v>0</v>
      </c>
      <c r="S14" s="19">
        <v>0</v>
      </c>
      <c r="T14" s="19">
        <v>50000</v>
      </c>
      <c r="U14" s="19">
        <v>0</v>
      </c>
      <c r="V14" s="19">
        <v>0</v>
      </c>
      <c r="W14" s="19">
        <v>0</v>
      </c>
      <c r="X14" s="19">
        <v>10000</v>
      </c>
      <c r="Y14" s="19">
        <v>0</v>
      </c>
      <c r="Z14" s="19">
        <v>0</v>
      </c>
      <c r="AA14" s="19">
        <v>0</v>
      </c>
      <c r="AB14" s="19">
        <v>0</v>
      </c>
      <c r="AC14" s="19">
        <v>60000</v>
      </c>
      <c r="AD14" s="19">
        <v>0</v>
      </c>
      <c r="AE14" s="19">
        <v>0</v>
      </c>
      <c r="AF14" s="19">
        <v>0</v>
      </c>
      <c r="AG14" s="19">
        <v>0</v>
      </c>
      <c r="AH14" s="19">
        <v>50000</v>
      </c>
      <c r="AI14" s="19">
        <v>0</v>
      </c>
      <c r="AJ14" s="19">
        <v>0</v>
      </c>
      <c r="AK14" s="19">
        <v>0</v>
      </c>
      <c r="AL14" s="19">
        <v>10000</v>
      </c>
      <c r="AM14" s="19">
        <v>0</v>
      </c>
      <c r="AN14" s="19">
        <v>0</v>
      </c>
      <c r="AO14" s="19">
        <v>0</v>
      </c>
      <c r="AP14" s="19">
        <v>0</v>
      </c>
      <c r="AQ14" s="19">
        <v>60000</v>
      </c>
    </row>
    <row r="15" spans="1:43" x14ac:dyDescent="0.2">
      <c r="A15" s="3" t="s">
        <v>4</v>
      </c>
      <c r="B15" s="5"/>
      <c r="C15" s="3" t="s">
        <v>201</v>
      </c>
      <c r="D15" s="9"/>
      <c r="E15" s="9" t="s">
        <v>1546</v>
      </c>
      <c r="F15" s="4">
        <v>0</v>
      </c>
      <c r="G15" s="4">
        <v>600000</v>
      </c>
      <c r="H15" s="3"/>
      <c r="I15" s="19">
        <v>400000</v>
      </c>
      <c r="J15" s="19">
        <v>750000</v>
      </c>
      <c r="K15" s="19">
        <v>750000</v>
      </c>
      <c r="L15" s="19">
        <v>750000</v>
      </c>
      <c r="M15" s="19">
        <v>750000</v>
      </c>
      <c r="N15" s="19">
        <v>750000</v>
      </c>
      <c r="O15" s="19">
        <f t="shared" si="0"/>
        <v>4150000</v>
      </c>
      <c r="P15" s="19">
        <v>66000</v>
      </c>
      <c r="Q15" s="19">
        <v>500000</v>
      </c>
      <c r="R15" s="19">
        <v>792622</v>
      </c>
      <c r="S15" s="19">
        <v>400000</v>
      </c>
      <c r="T15" s="19">
        <v>840000</v>
      </c>
      <c r="U15" s="19">
        <v>706000</v>
      </c>
      <c r="V15" s="19">
        <v>600000</v>
      </c>
      <c r="W15" s="19">
        <v>400000</v>
      </c>
      <c r="X15" s="19">
        <v>750000</v>
      </c>
      <c r="Y15" s="19">
        <v>326000</v>
      </c>
      <c r="Z15" s="19">
        <v>0</v>
      </c>
      <c r="AA15" s="19">
        <v>424000</v>
      </c>
      <c r="AB15" s="19">
        <v>500000</v>
      </c>
      <c r="AC15" s="19">
        <v>6304622</v>
      </c>
      <c r="AD15" s="19">
        <v>1026000</v>
      </c>
      <c r="AE15" s="19">
        <v>200000</v>
      </c>
      <c r="AF15" s="19">
        <v>700000</v>
      </c>
      <c r="AG15" s="19">
        <v>1300000</v>
      </c>
      <c r="AH15" s="19">
        <v>444000</v>
      </c>
      <c r="AI15" s="19">
        <v>520000</v>
      </c>
      <c r="AJ15" s="19">
        <v>782000</v>
      </c>
      <c r="AK15" s="19">
        <v>400000</v>
      </c>
      <c r="AL15" s="19">
        <v>646000</v>
      </c>
      <c r="AM15" s="19">
        <v>430000</v>
      </c>
      <c r="AN15" s="19">
        <v>92943</v>
      </c>
      <c r="AO15" s="19">
        <v>400000</v>
      </c>
      <c r="AP15" s="19">
        <v>169813</v>
      </c>
      <c r="AQ15" s="19">
        <v>7110756</v>
      </c>
    </row>
    <row r="16" spans="1:43" x14ac:dyDescent="0.2">
      <c r="A16" s="3" t="s">
        <v>86</v>
      </c>
      <c r="B16" s="5"/>
      <c r="C16" s="3" t="s">
        <v>91</v>
      </c>
      <c r="D16" s="9"/>
      <c r="E16" s="9" t="s">
        <v>1506</v>
      </c>
      <c r="F16" s="4">
        <v>0</v>
      </c>
      <c r="G16" s="4">
        <v>500000</v>
      </c>
      <c r="H16" s="3"/>
      <c r="I16" s="19">
        <v>500000</v>
      </c>
      <c r="J16" s="19">
        <v>1100000</v>
      </c>
      <c r="K16" s="19">
        <v>600000</v>
      </c>
      <c r="L16" s="19">
        <v>1100000</v>
      </c>
      <c r="M16" s="19">
        <v>600000</v>
      </c>
      <c r="N16" s="19">
        <v>600000</v>
      </c>
      <c r="O16" s="19">
        <f t="shared" si="0"/>
        <v>4500000</v>
      </c>
      <c r="P16" s="19">
        <v>200000</v>
      </c>
      <c r="Q16" s="19">
        <v>50000</v>
      </c>
      <c r="R16" s="19">
        <v>0</v>
      </c>
      <c r="S16" s="19">
        <v>50000</v>
      </c>
      <c r="T16" s="19">
        <v>100000</v>
      </c>
      <c r="U16" s="19">
        <v>144000</v>
      </c>
      <c r="V16" s="19">
        <v>300100</v>
      </c>
      <c r="W16" s="19">
        <v>220020</v>
      </c>
      <c r="X16" s="19">
        <v>230010</v>
      </c>
      <c r="Y16" s="19">
        <v>271020</v>
      </c>
      <c r="Z16" s="19">
        <v>562200</v>
      </c>
      <c r="AA16" s="19">
        <v>137</v>
      </c>
      <c r="AB16" s="19">
        <v>570000</v>
      </c>
      <c r="AC16" s="19">
        <v>2697487</v>
      </c>
      <c r="AD16" s="19">
        <v>200000</v>
      </c>
      <c r="AE16" s="19">
        <v>50000</v>
      </c>
      <c r="AF16" s="19">
        <v>0</v>
      </c>
      <c r="AG16" s="19">
        <v>70000</v>
      </c>
      <c r="AH16" s="19">
        <v>115005</v>
      </c>
      <c r="AI16" s="19">
        <v>109000</v>
      </c>
      <c r="AJ16" s="19">
        <v>300100</v>
      </c>
      <c r="AK16" s="19">
        <v>220020</v>
      </c>
      <c r="AL16" s="19">
        <v>230010</v>
      </c>
      <c r="AM16" s="19">
        <v>110020</v>
      </c>
      <c r="AN16" s="19">
        <v>112200</v>
      </c>
      <c r="AO16" s="19">
        <v>137</v>
      </c>
      <c r="AP16" s="19">
        <v>825000</v>
      </c>
      <c r="AQ16" s="19">
        <v>2341492</v>
      </c>
    </row>
    <row r="17" spans="1:43" x14ac:dyDescent="0.2">
      <c r="A17" s="3" t="s">
        <v>213</v>
      </c>
      <c r="B17" s="3"/>
      <c r="C17" s="3" t="s">
        <v>216</v>
      </c>
      <c r="D17" s="9"/>
      <c r="E17" s="9" t="s">
        <v>422</v>
      </c>
      <c r="F17" s="4">
        <v>0</v>
      </c>
      <c r="G17" s="4">
        <v>600000</v>
      </c>
      <c r="H17" s="3"/>
      <c r="I17" s="19">
        <v>600000</v>
      </c>
      <c r="J17" s="19">
        <v>600000</v>
      </c>
      <c r="K17" s="19">
        <v>600000</v>
      </c>
      <c r="L17" s="19">
        <v>600000</v>
      </c>
      <c r="M17" s="19">
        <v>600000</v>
      </c>
      <c r="N17" s="19">
        <v>600000</v>
      </c>
      <c r="O17" s="19">
        <f t="shared" si="0"/>
        <v>3600000</v>
      </c>
      <c r="P17" s="19">
        <v>350000</v>
      </c>
      <c r="Q17" s="19">
        <v>0</v>
      </c>
      <c r="R17" s="19">
        <v>12000</v>
      </c>
      <c r="S17" s="19">
        <v>355000</v>
      </c>
      <c r="T17" s="19">
        <v>613400</v>
      </c>
      <c r="U17" s="19">
        <v>310000</v>
      </c>
      <c r="V17" s="19">
        <v>910000</v>
      </c>
      <c r="W17" s="19">
        <v>399100</v>
      </c>
      <c r="X17" s="19">
        <v>470000</v>
      </c>
      <c r="Y17" s="19">
        <v>575000</v>
      </c>
      <c r="Z17" s="19">
        <v>1061000</v>
      </c>
      <c r="AA17" s="19">
        <v>101958</v>
      </c>
      <c r="AB17" s="19">
        <v>558000</v>
      </c>
      <c r="AC17" s="19">
        <v>5715458</v>
      </c>
      <c r="AD17" s="19">
        <v>15000</v>
      </c>
      <c r="AE17" s="19">
        <v>270000</v>
      </c>
      <c r="AF17" s="19">
        <v>440000</v>
      </c>
      <c r="AG17" s="19">
        <v>403585</v>
      </c>
      <c r="AH17" s="19">
        <v>472000</v>
      </c>
      <c r="AI17" s="19">
        <v>570832</v>
      </c>
      <c r="AJ17" s="19">
        <v>619587</v>
      </c>
      <c r="AK17" s="19">
        <v>76100</v>
      </c>
      <c r="AL17" s="19">
        <v>215837</v>
      </c>
      <c r="AM17" s="19">
        <v>901489</v>
      </c>
      <c r="AN17" s="19">
        <v>753405</v>
      </c>
      <c r="AO17" s="19">
        <v>305468</v>
      </c>
      <c r="AP17" s="19">
        <v>336650</v>
      </c>
      <c r="AQ17" s="19">
        <v>5379953</v>
      </c>
    </row>
    <row r="18" spans="1:43" x14ac:dyDescent="0.2">
      <c r="A18" s="3" t="s">
        <v>35</v>
      </c>
      <c r="B18" s="5"/>
      <c r="C18" s="3" t="s">
        <v>34</v>
      </c>
      <c r="D18" s="9"/>
      <c r="E18" s="9" t="s">
        <v>1495</v>
      </c>
      <c r="F18" s="4">
        <v>48</v>
      </c>
      <c r="G18" s="4">
        <v>200000</v>
      </c>
      <c r="H18" s="3"/>
      <c r="I18" s="19">
        <v>572150</v>
      </c>
      <c r="J18" s="19">
        <v>567150</v>
      </c>
      <c r="K18" s="19">
        <v>572150</v>
      </c>
      <c r="L18" s="19">
        <v>632150</v>
      </c>
      <c r="M18" s="19">
        <v>627150</v>
      </c>
      <c r="N18" s="19">
        <v>627150</v>
      </c>
      <c r="O18" s="19">
        <f t="shared" si="0"/>
        <v>3597900</v>
      </c>
      <c r="P18" s="19">
        <v>0</v>
      </c>
      <c r="Q18" s="19">
        <v>0</v>
      </c>
      <c r="R18" s="19">
        <v>0</v>
      </c>
      <c r="S18" s="19">
        <v>210000</v>
      </c>
      <c r="T18" s="19">
        <v>120000</v>
      </c>
      <c r="U18" s="19">
        <v>0</v>
      </c>
      <c r="V18" s="19">
        <v>201000</v>
      </c>
      <c r="W18" s="19">
        <v>240000</v>
      </c>
      <c r="X18" s="19">
        <v>219000</v>
      </c>
      <c r="Y18" s="19">
        <v>120000</v>
      </c>
      <c r="Z18" s="19">
        <v>270000</v>
      </c>
      <c r="AA18" s="19">
        <v>120345</v>
      </c>
      <c r="AB18" s="19">
        <v>30560</v>
      </c>
      <c r="AC18" s="19">
        <v>1530905</v>
      </c>
      <c r="AD18" s="19">
        <v>255000</v>
      </c>
      <c r="AE18" s="19">
        <v>0</v>
      </c>
      <c r="AF18" s="19">
        <v>0</v>
      </c>
      <c r="AG18" s="19">
        <v>0</v>
      </c>
      <c r="AH18" s="19">
        <v>231000</v>
      </c>
      <c r="AI18" s="19">
        <v>96000</v>
      </c>
      <c r="AJ18" s="19">
        <v>243000</v>
      </c>
      <c r="AK18" s="19">
        <v>291000</v>
      </c>
      <c r="AL18" s="19">
        <v>219000</v>
      </c>
      <c r="AM18" s="19">
        <v>180000</v>
      </c>
      <c r="AN18" s="19">
        <v>270040</v>
      </c>
      <c r="AO18" s="19">
        <v>120345</v>
      </c>
      <c r="AP18" s="19">
        <v>560</v>
      </c>
      <c r="AQ18" s="19">
        <v>1905945</v>
      </c>
    </row>
    <row r="19" spans="1:43" x14ac:dyDescent="0.2">
      <c r="A19" s="3" t="s">
        <v>68</v>
      </c>
      <c r="B19" s="5"/>
      <c r="C19" s="3" t="s">
        <v>67</v>
      </c>
      <c r="D19" s="9"/>
      <c r="E19" s="9" t="s">
        <v>683</v>
      </c>
      <c r="F19" s="4">
        <v>0</v>
      </c>
      <c r="G19" s="4">
        <v>200000</v>
      </c>
      <c r="H19" s="3"/>
      <c r="I19" s="19">
        <v>239000</v>
      </c>
      <c r="J19" s="19">
        <v>1239000</v>
      </c>
      <c r="K19" s="19">
        <v>239000</v>
      </c>
      <c r="L19" s="19">
        <v>240000</v>
      </c>
      <c r="M19" s="19">
        <v>240000</v>
      </c>
      <c r="N19" s="19">
        <v>240000</v>
      </c>
      <c r="O19" s="19">
        <f t="shared" si="0"/>
        <v>2437000</v>
      </c>
      <c r="P19" s="19">
        <v>816000</v>
      </c>
      <c r="Q19" s="19">
        <v>42000</v>
      </c>
      <c r="R19" s="19">
        <v>18000</v>
      </c>
      <c r="S19" s="19">
        <v>42000</v>
      </c>
      <c r="T19" s="19">
        <v>300000</v>
      </c>
      <c r="U19" s="19">
        <v>94920</v>
      </c>
      <c r="V19" s="19">
        <v>48160</v>
      </c>
      <c r="W19" s="19">
        <v>528200</v>
      </c>
      <c r="X19" s="19">
        <v>1060385</v>
      </c>
      <c r="Y19" s="19">
        <v>542890</v>
      </c>
      <c r="Z19" s="19">
        <v>59260</v>
      </c>
      <c r="AA19" s="19">
        <v>225</v>
      </c>
      <c r="AB19" s="19">
        <v>320735</v>
      </c>
      <c r="AC19" s="19">
        <v>3872775</v>
      </c>
      <c r="AD19" s="19">
        <v>204000</v>
      </c>
      <c r="AE19" s="19">
        <v>639000</v>
      </c>
      <c r="AF19" s="19">
        <v>33000</v>
      </c>
      <c r="AG19" s="19">
        <v>42000</v>
      </c>
      <c r="AH19" s="19">
        <v>300005</v>
      </c>
      <c r="AI19" s="19">
        <v>94920</v>
      </c>
      <c r="AJ19" s="19">
        <v>48160</v>
      </c>
      <c r="AK19" s="19">
        <v>528200</v>
      </c>
      <c r="AL19" s="19">
        <v>423385</v>
      </c>
      <c r="AM19" s="19">
        <v>455890</v>
      </c>
      <c r="AN19" s="19">
        <v>783260</v>
      </c>
      <c r="AO19" s="19">
        <v>225</v>
      </c>
      <c r="AP19" s="19">
        <v>636735</v>
      </c>
      <c r="AQ19" s="19">
        <v>4188780</v>
      </c>
    </row>
    <row r="20" spans="1:43" x14ac:dyDescent="0.2">
      <c r="A20" s="3" t="s">
        <v>122</v>
      </c>
      <c r="B20" s="5"/>
      <c r="C20" s="3" t="s">
        <v>127</v>
      </c>
      <c r="D20" s="9"/>
      <c r="E20" s="9" t="s">
        <v>1497</v>
      </c>
      <c r="F20" s="4">
        <v>0</v>
      </c>
      <c r="G20" s="4">
        <v>500000</v>
      </c>
      <c r="H20" s="3"/>
      <c r="I20" s="19">
        <v>360000</v>
      </c>
      <c r="J20" s="19">
        <v>500000</v>
      </c>
      <c r="K20" s="19">
        <v>505000</v>
      </c>
      <c r="L20" s="19">
        <v>505000</v>
      </c>
      <c r="M20" s="19">
        <v>505000</v>
      </c>
      <c r="N20" s="19">
        <v>505000</v>
      </c>
      <c r="O20" s="19">
        <f t="shared" si="0"/>
        <v>2880000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214000</v>
      </c>
      <c r="Y20" s="19">
        <v>476000</v>
      </c>
      <c r="Z20" s="19">
        <v>550000</v>
      </c>
      <c r="AA20" s="19">
        <v>842000</v>
      </c>
      <c r="AB20" s="19">
        <v>642000</v>
      </c>
      <c r="AC20" s="19">
        <v>2724000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560000</v>
      </c>
      <c r="AM20" s="19">
        <v>129000</v>
      </c>
      <c r="AN20" s="19">
        <v>1042000</v>
      </c>
      <c r="AO20" s="19">
        <v>847000</v>
      </c>
      <c r="AP20" s="19">
        <v>700000</v>
      </c>
      <c r="AQ20" s="19">
        <v>3278000</v>
      </c>
    </row>
    <row r="21" spans="1:43" x14ac:dyDescent="0.2">
      <c r="A21" s="3" t="s">
        <v>4</v>
      </c>
      <c r="B21" s="5"/>
      <c r="C21" s="3" t="s">
        <v>3</v>
      </c>
      <c r="D21" s="9"/>
      <c r="E21" s="9" t="s">
        <v>1527</v>
      </c>
      <c r="F21" s="4">
        <v>400</v>
      </c>
      <c r="G21" s="4">
        <v>200000</v>
      </c>
      <c r="H21" s="3"/>
      <c r="I21" s="19">
        <v>151320</v>
      </c>
      <c r="J21" s="19">
        <v>174800</v>
      </c>
      <c r="K21" s="19">
        <v>174800</v>
      </c>
      <c r="L21" s="19">
        <v>1000000</v>
      </c>
      <c r="M21" s="19">
        <v>1000000</v>
      </c>
      <c r="N21" s="19">
        <v>1000000</v>
      </c>
      <c r="O21" s="19">
        <f t="shared" si="0"/>
        <v>3500920</v>
      </c>
      <c r="P21" s="19">
        <v>0</v>
      </c>
      <c r="Q21" s="19">
        <v>700000</v>
      </c>
      <c r="R21" s="19">
        <v>2500000</v>
      </c>
      <c r="S21" s="19">
        <v>708437</v>
      </c>
      <c r="T21" s="19">
        <v>0</v>
      </c>
      <c r="U21" s="19">
        <v>2510000</v>
      </c>
      <c r="V21" s="19">
        <v>0</v>
      </c>
      <c r="W21" s="19">
        <v>0</v>
      </c>
      <c r="X21" s="19">
        <v>1000000</v>
      </c>
      <c r="Y21" s="19">
        <v>132000</v>
      </c>
      <c r="Z21" s="19">
        <v>567000</v>
      </c>
      <c r="AA21" s="19">
        <v>1551000</v>
      </c>
      <c r="AB21" s="19">
        <v>0</v>
      </c>
      <c r="AC21" s="19">
        <v>9668437</v>
      </c>
      <c r="AD21" s="19">
        <v>0</v>
      </c>
      <c r="AE21" s="19">
        <v>358977</v>
      </c>
      <c r="AF21" s="19">
        <v>2714676</v>
      </c>
      <c r="AG21" s="19">
        <v>834784</v>
      </c>
      <c r="AH21" s="19">
        <v>0</v>
      </c>
      <c r="AI21" s="19">
        <v>1782586</v>
      </c>
      <c r="AJ21" s="19">
        <v>727414</v>
      </c>
      <c r="AK21" s="19">
        <v>0</v>
      </c>
      <c r="AL21" s="19">
        <v>1000000</v>
      </c>
      <c r="AM21" s="19">
        <v>132000</v>
      </c>
      <c r="AN21" s="19">
        <v>932460</v>
      </c>
      <c r="AO21" s="19">
        <v>527851</v>
      </c>
      <c r="AP21" s="19">
        <v>0</v>
      </c>
      <c r="AQ21" s="19">
        <v>9010748</v>
      </c>
    </row>
    <row r="22" spans="1:43" x14ac:dyDescent="0.2">
      <c r="A22" s="3" t="s">
        <v>257</v>
      </c>
      <c r="B22" s="5"/>
      <c r="C22" s="3" t="s">
        <v>256</v>
      </c>
      <c r="D22" s="9"/>
      <c r="E22" s="9" t="s">
        <v>1558</v>
      </c>
      <c r="F22" s="4">
        <v>150</v>
      </c>
      <c r="G22" s="4">
        <v>200000</v>
      </c>
      <c r="H22" s="3"/>
      <c r="I22" s="19">
        <v>330000</v>
      </c>
      <c r="J22" s="19">
        <v>340500</v>
      </c>
      <c r="K22" s="19">
        <v>240000</v>
      </c>
      <c r="L22" s="19">
        <v>240000</v>
      </c>
      <c r="M22" s="19">
        <v>270000</v>
      </c>
      <c r="N22" s="19">
        <v>270000</v>
      </c>
      <c r="O22" s="19">
        <f t="shared" si="0"/>
        <v>1690500</v>
      </c>
      <c r="P22" s="19">
        <v>757500</v>
      </c>
      <c r="Q22" s="19">
        <v>705000</v>
      </c>
      <c r="R22" s="19">
        <v>819075</v>
      </c>
      <c r="S22" s="19">
        <v>393000</v>
      </c>
      <c r="T22" s="19">
        <v>393000</v>
      </c>
      <c r="U22" s="19">
        <v>240000</v>
      </c>
      <c r="V22" s="19">
        <v>330000</v>
      </c>
      <c r="W22" s="19">
        <v>252000</v>
      </c>
      <c r="X22" s="19">
        <v>625092</v>
      </c>
      <c r="Y22" s="19">
        <v>516000</v>
      </c>
      <c r="Z22" s="19">
        <v>211500</v>
      </c>
      <c r="AA22" s="19">
        <v>210000</v>
      </c>
      <c r="AB22" s="19">
        <v>292500</v>
      </c>
      <c r="AC22" s="19">
        <v>5744667</v>
      </c>
      <c r="AD22" s="19">
        <v>385500</v>
      </c>
      <c r="AE22" s="19">
        <v>469500</v>
      </c>
      <c r="AF22" s="19">
        <v>1005000</v>
      </c>
      <c r="AG22" s="19">
        <v>388575</v>
      </c>
      <c r="AH22" s="19">
        <v>427500</v>
      </c>
      <c r="AI22" s="19">
        <v>381000</v>
      </c>
      <c r="AJ22" s="19">
        <v>330000</v>
      </c>
      <c r="AK22" s="19">
        <v>459000</v>
      </c>
      <c r="AL22" s="19">
        <v>710592</v>
      </c>
      <c r="AM22" s="19">
        <v>469426</v>
      </c>
      <c r="AN22" s="19">
        <v>432100</v>
      </c>
      <c r="AO22" s="19">
        <v>30000</v>
      </c>
      <c r="AP22" s="19">
        <v>292500</v>
      </c>
      <c r="AQ22" s="19">
        <v>5780693</v>
      </c>
    </row>
    <row r="23" spans="1:43" x14ac:dyDescent="0.2">
      <c r="A23" s="3" t="s">
        <v>259</v>
      </c>
      <c r="B23" s="5"/>
      <c r="C23" s="3" t="s">
        <v>271</v>
      </c>
      <c r="D23" s="9"/>
      <c r="E23" s="9" t="s">
        <v>388</v>
      </c>
      <c r="F23" s="4">
        <v>0</v>
      </c>
      <c r="G23" s="4">
        <v>800000</v>
      </c>
      <c r="H23" s="3"/>
      <c r="I23" s="19">
        <v>610000</v>
      </c>
      <c r="J23" s="19">
        <v>920000</v>
      </c>
      <c r="K23" s="19">
        <v>700000</v>
      </c>
      <c r="L23" s="19">
        <v>478000</v>
      </c>
      <c r="M23" s="19">
        <v>478000</v>
      </c>
      <c r="N23" s="19">
        <v>478000</v>
      </c>
      <c r="O23" s="19">
        <f t="shared" si="0"/>
        <v>3664000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595500</v>
      </c>
      <c r="Y23" s="19">
        <v>172000</v>
      </c>
      <c r="Z23" s="19">
        <v>260000</v>
      </c>
      <c r="AA23" s="19">
        <v>1218000</v>
      </c>
      <c r="AB23" s="19">
        <v>300000</v>
      </c>
      <c r="AC23" s="19">
        <v>2545500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72000</v>
      </c>
      <c r="AM23" s="19">
        <v>775500</v>
      </c>
      <c r="AN23" s="19">
        <v>300000</v>
      </c>
      <c r="AO23" s="19">
        <v>1209000</v>
      </c>
      <c r="AP23" s="19">
        <v>589500</v>
      </c>
      <c r="AQ23" s="19">
        <v>2946000</v>
      </c>
    </row>
    <row r="24" spans="1:43" x14ac:dyDescent="0.2">
      <c r="A24" s="3" t="s">
        <v>41</v>
      </c>
      <c r="B24" s="5"/>
      <c r="C24" s="3" t="s">
        <v>40</v>
      </c>
      <c r="D24" s="9"/>
      <c r="E24" s="9" t="s">
        <v>1559</v>
      </c>
      <c r="F24" s="4">
        <v>24</v>
      </c>
      <c r="G24" s="4">
        <v>300000</v>
      </c>
      <c r="H24" s="3"/>
      <c r="I24" s="19">
        <v>248000</v>
      </c>
      <c r="J24" s="19">
        <v>236000</v>
      </c>
      <c r="K24" s="19">
        <v>256000</v>
      </c>
      <c r="L24" s="19">
        <v>238000</v>
      </c>
      <c r="M24" s="19">
        <v>259000</v>
      </c>
      <c r="N24" s="19">
        <v>259000</v>
      </c>
      <c r="O24" s="19">
        <f t="shared" si="0"/>
        <v>1496000</v>
      </c>
      <c r="P24" s="19">
        <v>414000</v>
      </c>
      <c r="Q24" s="19">
        <v>24000</v>
      </c>
      <c r="R24" s="19">
        <v>27000</v>
      </c>
      <c r="S24" s="19">
        <v>69000</v>
      </c>
      <c r="T24" s="19">
        <v>426000</v>
      </c>
      <c r="U24" s="19">
        <v>270105</v>
      </c>
      <c r="V24" s="19">
        <v>450000</v>
      </c>
      <c r="W24" s="19">
        <v>309000</v>
      </c>
      <c r="X24" s="19">
        <v>332000</v>
      </c>
      <c r="Y24" s="19">
        <v>402000</v>
      </c>
      <c r="Z24" s="19">
        <v>210220</v>
      </c>
      <c r="AA24" s="19">
        <v>273000</v>
      </c>
      <c r="AB24" s="19">
        <v>429050</v>
      </c>
      <c r="AC24" s="19">
        <v>3635375</v>
      </c>
      <c r="AD24" s="19">
        <v>174000</v>
      </c>
      <c r="AE24" s="19">
        <v>174000</v>
      </c>
      <c r="AF24" s="19">
        <v>327000</v>
      </c>
      <c r="AG24" s="19">
        <v>309000</v>
      </c>
      <c r="AH24" s="19">
        <v>423000</v>
      </c>
      <c r="AI24" s="19">
        <v>216105</v>
      </c>
      <c r="AJ24" s="19">
        <v>318000</v>
      </c>
      <c r="AK24" s="19">
        <v>228000</v>
      </c>
      <c r="AL24" s="19">
        <v>288000</v>
      </c>
      <c r="AM24" s="19">
        <v>483000</v>
      </c>
      <c r="AN24" s="19">
        <v>258239</v>
      </c>
      <c r="AO24" s="19">
        <v>210000</v>
      </c>
      <c r="AP24" s="19">
        <v>246050</v>
      </c>
      <c r="AQ24" s="19">
        <v>3654394</v>
      </c>
    </row>
    <row r="25" spans="1:43" x14ac:dyDescent="0.2">
      <c r="A25" s="3" t="s">
        <v>79</v>
      </c>
      <c r="B25" s="5"/>
      <c r="C25" s="3" t="s">
        <v>78</v>
      </c>
      <c r="D25" s="9"/>
      <c r="E25" s="9" t="s">
        <v>1509</v>
      </c>
      <c r="F25" s="4">
        <v>50</v>
      </c>
      <c r="G25" s="4">
        <v>500000</v>
      </c>
      <c r="H25" s="3"/>
      <c r="I25" s="19">
        <v>510000</v>
      </c>
      <c r="J25" s="19">
        <v>510000</v>
      </c>
      <c r="K25" s="19">
        <v>510000</v>
      </c>
      <c r="L25" s="19">
        <v>510000</v>
      </c>
      <c r="M25" s="19">
        <v>510000</v>
      </c>
      <c r="N25" s="19">
        <v>510000</v>
      </c>
      <c r="O25" s="19">
        <f t="shared" si="0"/>
        <v>3060000</v>
      </c>
      <c r="P25" s="19">
        <v>237000</v>
      </c>
      <c r="Q25" s="19">
        <v>210000</v>
      </c>
      <c r="R25" s="19">
        <v>432030</v>
      </c>
      <c r="S25" s="19">
        <v>249000</v>
      </c>
      <c r="T25" s="19">
        <v>300000</v>
      </c>
      <c r="U25" s="19">
        <v>429000</v>
      </c>
      <c r="V25" s="19">
        <v>180215</v>
      </c>
      <c r="W25" s="19">
        <v>570000</v>
      </c>
      <c r="X25" s="19">
        <v>294000</v>
      </c>
      <c r="Y25" s="19">
        <v>639486</v>
      </c>
      <c r="Z25" s="19">
        <v>480130</v>
      </c>
      <c r="AA25" s="19">
        <v>940325</v>
      </c>
      <c r="AB25" s="19">
        <v>390366</v>
      </c>
      <c r="AC25" s="19">
        <v>5351552</v>
      </c>
      <c r="AD25" s="19">
        <v>261000</v>
      </c>
      <c r="AE25" s="19">
        <v>501000</v>
      </c>
      <c r="AF25" s="19">
        <v>426000</v>
      </c>
      <c r="AG25" s="19">
        <v>75030</v>
      </c>
      <c r="AH25" s="19">
        <v>498000</v>
      </c>
      <c r="AI25" s="19">
        <v>483000</v>
      </c>
      <c r="AJ25" s="19">
        <v>240215</v>
      </c>
      <c r="AK25" s="19">
        <v>570000</v>
      </c>
      <c r="AL25" s="19">
        <v>84000</v>
      </c>
      <c r="AM25" s="19">
        <v>333486</v>
      </c>
      <c r="AN25" s="19">
        <v>987130</v>
      </c>
      <c r="AO25" s="19">
        <v>340325</v>
      </c>
      <c r="AP25" s="19">
        <v>723366</v>
      </c>
      <c r="AQ25" s="19">
        <v>5522552</v>
      </c>
    </row>
    <row r="26" spans="1:43" x14ac:dyDescent="0.2">
      <c r="A26" s="3" t="s">
        <v>117</v>
      </c>
      <c r="B26" s="5"/>
      <c r="C26" s="3" t="s">
        <v>124</v>
      </c>
      <c r="D26" s="9"/>
      <c r="E26" s="9" t="s">
        <v>1518</v>
      </c>
      <c r="F26" s="4">
        <v>100</v>
      </c>
      <c r="G26" s="4">
        <v>300000</v>
      </c>
      <c r="H26" s="3"/>
      <c r="I26" s="19">
        <v>322000</v>
      </c>
      <c r="J26" s="19">
        <v>322000</v>
      </c>
      <c r="K26" s="19">
        <v>352000</v>
      </c>
      <c r="L26" s="19">
        <v>322000</v>
      </c>
      <c r="M26" s="19">
        <v>352000</v>
      </c>
      <c r="N26" s="19">
        <v>352000</v>
      </c>
      <c r="O26" s="19">
        <f t="shared" si="0"/>
        <v>2022000</v>
      </c>
      <c r="P26" s="19">
        <v>380000</v>
      </c>
      <c r="Q26" s="19">
        <v>10000</v>
      </c>
      <c r="R26" s="19">
        <v>380000</v>
      </c>
      <c r="S26" s="19">
        <v>16000</v>
      </c>
      <c r="T26" s="19">
        <v>393407</v>
      </c>
      <c r="U26" s="19">
        <v>3000</v>
      </c>
      <c r="V26" s="19">
        <v>0</v>
      </c>
      <c r="W26" s="19">
        <v>0</v>
      </c>
      <c r="X26" s="19">
        <v>0</v>
      </c>
      <c r="Y26" s="19">
        <v>0</v>
      </c>
      <c r="Z26" s="19">
        <v>225000</v>
      </c>
      <c r="AA26" s="19">
        <v>240000</v>
      </c>
      <c r="AB26" s="19">
        <v>240000</v>
      </c>
      <c r="AC26" s="19">
        <v>1887407</v>
      </c>
      <c r="AD26" s="19">
        <v>120000</v>
      </c>
      <c r="AE26" s="19">
        <v>270000</v>
      </c>
      <c r="AF26" s="19">
        <v>330000</v>
      </c>
      <c r="AG26" s="19">
        <v>66000</v>
      </c>
      <c r="AH26" s="19">
        <v>393407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759000</v>
      </c>
      <c r="AP26" s="19">
        <v>0</v>
      </c>
      <c r="AQ26" s="19">
        <v>1938407</v>
      </c>
    </row>
    <row r="27" spans="1:43" x14ac:dyDescent="0.2">
      <c r="A27" s="3" t="s">
        <v>129</v>
      </c>
      <c r="B27" s="5"/>
      <c r="C27" s="3" t="s">
        <v>128</v>
      </c>
      <c r="D27" s="9"/>
      <c r="E27" s="9" t="s">
        <v>1520</v>
      </c>
      <c r="F27" s="4">
        <v>25</v>
      </c>
      <c r="G27" s="4">
        <v>300000</v>
      </c>
      <c r="H27" s="3"/>
      <c r="I27" s="19">
        <v>262000</v>
      </c>
      <c r="J27" s="19">
        <v>283000</v>
      </c>
      <c r="K27" s="19">
        <v>331000</v>
      </c>
      <c r="L27" s="19">
        <v>368000</v>
      </c>
      <c r="M27" s="19">
        <v>388000</v>
      </c>
      <c r="N27" s="19">
        <v>388000</v>
      </c>
      <c r="O27" s="19">
        <f t="shared" si="0"/>
        <v>2020000</v>
      </c>
      <c r="P27" s="19">
        <v>150000</v>
      </c>
      <c r="Q27" s="19">
        <v>207000</v>
      </c>
      <c r="R27" s="19">
        <v>0</v>
      </c>
      <c r="S27" s="19">
        <v>342000</v>
      </c>
      <c r="T27" s="19">
        <v>258000</v>
      </c>
      <c r="U27" s="19">
        <v>96000</v>
      </c>
      <c r="V27" s="19">
        <v>351500</v>
      </c>
      <c r="W27" s="19">
        <v>75000</v>
      </c>
      <c r="X27" s="19">
        <v>157200</v>
      </c>
      <c r="Y27" s="19">
        <v>337250</v>
      </c>
      <c r="Z27" s="19">
        <v>395000</v>
      </c>
      <c r="AA27" s="19">
        <v>273846</v>
      </c>
      <c r="AB27" s="19">
        <v>144000</v>
      </c>
      <c r="AC27" s="19">
        <v>2786796</v>
      </c>
      <c r="AD27" s="19">
        <v>108000</v>
      </c>
      <c r="AE27" s="19">
        <v>109050</v>
      </c>
      <c r="AF27" s="19">
        <v>231200</v>
      </c>
      <c r="AG27" s="19">
        <v>363000</v>
      </c>
      <c r="AH27" s="19">
        <v>66000</v>
      </c>
      <c r="AI27" s="19">
        <v>364200</v>
      </c>
      <c r="AJ27" s="19">
        <v>195500</v>
      </c>
      <c r="AK27" s="19">
        <v>294000</v>
      </c>
      <c r="AL27" s="19">
        <v>142300</v>
      </c>
      <c r="AM27" s="19">
        <v>381200</v>
      </c>
      <c r="AN27" s="19">
        <v>498600</v>
      </c>
      <c r="AO27" s="19">
        <v>345000</v>
      </c>
      <c r="AP27" s="19">
        <v>30000</v>
      </c>
      <c r="AQ27" s="19">
        <v>3128050</v>
      </c>
    </row>
    <row r="28" spans="1:43" x14ac:dyDescent="0.2">
      <c r="A28" s="3" t="s">
        <v>151</v>
      </c>
      <c r="B28" s="5"/>
      <c r="C28" s="3" t="s">
        <v>158</v>
      </c>
      <c r="D28" s="9"/>
      <c r="E28" s="9" t="s">
        <v>540</v>
      </c>
      <c r="F28" s="4">
        <v>0</v>
      </c>
      <c r="G28" s="4">
        <v>100000</v>
      </c>
      <c r="H28" s="3"/>
      <c r="I28" s="19">
        <v>95000</v>
      </c>
      <c r="J28" s="19">
        <v>95000</v>
      </c>
      <c r="K28" s="19">
        <v>95000</v>
      </c>
      <c r="L28" s="19">
        <v>95000</v>
      </c>
      <c r="M28" s="19">
        <v>95000</v>
      </c>
      <c r="N28" s="19">
        <v>95000</v>
      </c>
      <c r="O28" s="19">
        <f t="shared" si="0"/>
        <v>570000</v>
      </c>
      <c r="P28" s="19">
        <v>7000</v>
      </c>
      <c r="Q28" s="19">
        <v>0</v>
      </c>
      <c r="R28" s="19">
        <v>2000</v>
      </c>
      <c r="S28" s="19">
        <v>0</v>
      </c>
      <c r="T28" s="19">
        <v>0</v>
      </c>
      <c r="U28" s="19">
        <v>833045</v>
      </c>
      <c r="V28" s="19">
        <v>2105</v>
      </c>
      <c r="W28" s="19">
        <v>13070</v>
      </c>
      <c r="X28" s="19">
        <v>250105</v>
      </c>
      <c r="Y28" s="19">
        <v>133000</v>
      </c>
      <c r="Z28" s="19">
        <v>38000</v>
      </c>
      <c r="AA28" s="19">
        <v>0</v>
      </c>
      <c r="AB28" s="19">
        <v>21010</v>
      </c>
      <c r="AC28" s="19">
        <v>1299335</v>
      </c>
      <c r="AD28" s="19">
        <v>100000</v>
      </c>
      <c r="AE28" s="19">
        <v>80000</v>
      </c>
      <c r="AF28" s="19">
        <v>102000</v>
      </c>
      <c r="AG28" s="19">
        <v>200000</v>
      </c>
      <c r="AH28" s="19">
        <v>327000</v>
      </c>
      <c r="AI28" s="19">
        <v>23045</v>
      </c>
      <c r="AJ28" s="19">
        <v>12105</v>
      </c>
      <c r="AK28" s="19">
        <v>7070</v>
      </c>
      <c r="AL28" s="19">
        <v>227105</v>
      </c>
      <c r="AM28" s="19">
        <v>51000</v>
      </c>
      <c r="AN28" s="19">
        <v>229000</v>
      </c>
      <c r="AO28" s="19">
        <v>0</v>
      </c>
      <c r="AP28" s="19">
        <v>10</v>
      </c>
      <c r="AQ28" s="19">
        <v>1358335</v>
      </c>
    </row>
    <row r="29" spans="1:43" x14ac:dyDescent="0.2">
      <c r="A29" s="3" t="s">
        <v>266</v>
      </c>
      <c r="B29" s="5"/>
      <c r="C29" s="3" t="s">
        <v>267</v>
      </c>
      <c r="D29" s="9"/>
      <c r="E29" s="9" t="s">
        <v>1522</v>
      </c>
      <c r="F29" s="4">
        <v>150</v>
      </c>
      <c r="G29" s="4">
        <v>100000</v>
      </c>
      <c r="H29" s="3"/>
      <c r="I29" s="19">
        <v>179000</v>
      </c>
      <c r="J29" s="19">
        <v>204000</v>
      </c>
      <c r="K29" s="19">
        <v>214000</v>
      </c>
      <c r="L29" s="19">
        <v>204000</v>
      </c>
      <c r="M29" s="19">
        <v>207000</v>
      </c>
      <c r="N29" s="19">
        <v>207000</v>
      </c>
      <c r="O29" s="19">
        <f t="shared" si="0"/>
        <v>1215000</v>
      </c>
      <c r="P29" s="19">
        <v>287000</v>
      </c>
      <c r="Q29" s="19">
        <v>281000</v>
      </c>
      <c r="R29" s="19">
        <v>57000</v>
      </c>
      <c r="S29" s="19">
        <v>42000</v>
      </c>
      <c r="T29" s="19">
        <v>432010</v>
      </c>
      <c r="U29" s="19">
        <v>403510</v>
      </c>
      <c r="V29" s="19">
        <v>249000</v>
      </c>
      <c r="W29" s="19">
        <v>255000</v>
      </c>
      <c r="X29" s="19">
        <v>338291</v>
      </c>
      <c r="Y29" s="19">
        <v>90000</v>
      </c>
      <c r="Z29" s="19">
        <v>87032</v>
      </c>
      <c r="AA29" s="19">
        <v>160501</v>
      </c>
      <c r="AB29" s="19">
        <v>70000</v>
      </c>
      <c r="AC29" s="19">
        <v>2752344</v>
      </c>
      <c r="AD29" s="19">
        <v>57000</v>
      </c>
      <c r="AE29" s="19">
        <v>489000</v>
      </c>
      <c r="AF29" s="19">
        <v>57000</v>
      </c>
      <c r="AG29" s="19">
        <v>33000</v>
      </c>
      <c r="AH29" s="19">
        <v>459010</v>
      </c>
      <c r="AI29" s="19">
        <v>136510</v>
      </c>
      <c r="AJ29" s="19">
        <v>126000</v>
      </c>
      <c r="AK29" s="19">
        <v>300000</v>
      </c>
      <c r="AL29" s="19">
        <v>555000</v>
      </c>
      <c r="AM29" s="19">
        <v>105000</v>
      </c>
      <c r="AN29" s="19">
        <v>72032</v>
      </c>
      <c r="AO29" s="19">
        <v>159501</v>
      </c>
      <c r="AP29" s="19">
        <v>70500</v>
      </c>
      <c r="AQ29" s="19">
        <v>2619553</v>
      </c>
    </row>
    <row r="30" spans="1:43" x14ac:dyDescent="0.2">
      <c r="A30" s="3" t="s">
        <v>11</v>
      </c>
      <c r="B30" s="5"/>
      <c r="C30" s="3" t="s">
        <v>10</v>
      </c>
      <c r="D30" s="9"/>
      <c r="E30" s="9" t="s">
        <v>1494</v>
      </c>
      <c r="F30" s="4">
        <v>100</v>
      </c>
      <c r="G30" s="39"/>
      <c r="H30" s="3"/>
      <c r="I30" s="19">
        <v>600000</v>
      </c>
      <c r="J30" s="19">
        <v>1000000</v>
      </c>
      <c r="K30" s="19">
        <v>500000</v>
      </c>
      <c r="L30" s="19">
        <v>600000</v>
      </c>
      <c r="M30" s="19">
        <v>800000</v>
      </c>
      <c r="N30" s="19">
        <v>800000</v>
      </c>
      <c r="O30" s="19">
        <f t="shared" si="0"/>
        <v>4300000</v>
      </c>
      <c r="P30" s="19">
        <v>85201</v>
      </c>
      <c r="Q30" s="19">
        <v>0</v>
      </c>
      <c r="R30" s="19">
        <v>500000</v>
      </c>
      <c r="S30" s="19">
        <v>576315</v>
      </c>
      <c r="T30" s="19">
        <v>0</v>
      </c>
      <c r="U30" s="19">
        <v>0</v>
      </c>
      <c r="V30" s="19">
        <v>0</v>
      </c>
      <c r="W30" s="19">
        <v>0</v>
      </c>
      <c r="X30" s="19">
        <v>1000000</v>
      </c>
      <c r="Y30" s="19">
        <v>1000000</v>
      </c>
      <c r="Z30" s="19">
        <v>737324</v>
      </c>
      <c r="AA30" s="19">
        <v>0</v>
      </c>
      <c r="AB30" s="19">
        <v>0</v>
      </c>
      <c r="AC30" s="19">
        <v>3898840</v>
      </c>
      <c r="AD30" s="19">
        <v>0</v>
      </c>
      <c r="AE30" s="19">
        <v>0</v>
      </c>
      <c r="AF30" s="19">
        <v>0</v>
      </c>
      <c r="AG30" s="19">
        <v>1076315</v>
      </c>
      <c r="AH30" s="19">
        <v>0</v>
      </c>
      <c r="AI30" s="19">
        <v>0</v>
      </c>
      <c r="AJ30" s="19">
        <v>0</v>
      </c>
      <c r="AK30" s="19">
        <v>0</v>
      </c>
      <c r="AL30" s="19">
        <v>366746</v>
      </c>
      <c r="AM30" s="19">
        <v>365830</v>
      </c>
      <c r="AN30" s="19">
        <v>2004748</v>
      </c>
      <c r="AO30" s="19">
        <v>0</v>
      </c>
      <c r="AP30" s="19">
        <v>0</v>
      </c>
      <c r="AQ30" s="19">
        <v>3813639</v>
      </c>
    </row>
    <row r="31" spans="1:43" x14ac:dyDescent="0.2">
      <c r="A31" s="3" t="s">
        <v>14</v>
      </c>
      <c r="B31" s="5"/>
      <c r="C31" s="3" t="s">
        <v>13</v>
      </c>
      <c r="D31" s="9"/>
      <c r="E31" s="9" t="s">
        <v>1560</v>
      </c>
      <c r="F31" s="4">
        <v>100</v>
      </c>
      <c r="G31" s="4"/>
      <c r="H31" s="3"/>
      <c r="I31" s="19">
        <v>800000</v>
      </c>
      <c r="J31" s="19">
        <v>800000</v>
      </c>
      <c r="K31" s="19">
        <v>400000</v>
      </c>
      <c r="L31" s="19">
        <v>400000</v>
      </c>
      <c r="M31" s="19">
        <v>800000</v>
      </c>
      <c r="N31" s="19">
        <v>800000</v>
      </c>
      <c r="O31" s="19">
        <f t="shared" si="0"/>
        <v>4000000</v>
      </c>
      <c r="P31" s="19">
        <v>56622</v>
      </c>
      <c r="Q31" s="19">
        <v>0</v>
      </c>
      <c r="R31" s="19">
        <v>100000</v>
      </c>
      <c r="S31" s="19">
        <v>502823</v>
      </c>
      <c r="T31" s="19">
        <v>0</v>
      </c>
      <c r="U31" s="19">
        <v>993144</v>
      </c>
      <c r="V31" s="19">
        <v>0</v>
      </c>
      <c r="W31" s="19">
        <v>500000</v>
      </c>
      <c r="X31" s="19">
        <v>1000000</v>
      </c>
      <c r="Y31" s="19">
        <v>1000000</v>
      </c>
      <c r="Z31" s="19">
        <v>249663</v>
      </c>
      <c r="AA31" s="19">
        <v>0</v>
      </c>
      <c r="AB31" s="19">
        <v>0</v>
      </c>
      <c r="AC31" s="19">
        <v>4402252</v>
      </c>
      <c r="AD31" s="19">
        <v>0</v>
      </c>
      <c r="AE31" s="19">
        <v>0</v>
      </c>
      <c r="AF31" s="19">
        <v>100000</v>
      </c>
      <c r="AG31" s="19">
        <v>502823</v>
      </c>
      <c r="AH31" s="19">
        <v>0</v>
      </c>
      <c r="AI31" s="19">
        <v>493144</v>
      </c>
      <c r="AJ31" s="19">
        <v>0</v>
      </c>
      <c r="AK31" s="19">
        <v>90000</v>
      </c>
      <c r="AL31" s="19">
        <v>1209030</v>
      </c>
      <c r="AM31" s="19">
        <v>729246</v>
      </c>
      <c r="AN31" s="19">
        <v>1789111</v>
      </c>
      <c r="AO31" s="19">
        <v>0</v>
      </c>
      <c r="AP31" s="19">
        <v>0</v>
      </c>
      <c r="AQ31" s="19">
        <v>4913354</v>
      </c>
    </row>
    <row r="32" spans="1:43" x14ac:dyDescent="0.2">
      <c r="A32" s="3" t="s">
        <v>30</v>
      </c>
      <c r="B32" s="5"/>
      <c r="C32" s="3" t="s">
        <v>36</v>
      </c>
      <c r="D32" s="9"/>
      <c r="E32" s="9" t="s">
        <v>1501</v>
      </c>
      <c r="F32" s="4">
        <v>0</v>
      </c>
      <c r="G32" s="4">
        <v>380000</v>
      </c>
      <c r="H32" s="3"/>
      <c r="I32" s="19">
        <v>245000</v>
      </c>
      <c r="J32" s="19">
        <v>245000</v>
      </c>
      <c r="K32" s="19">
        <v>315000</v>
      </c>
      <c r="L32" s="19">
        <v>265000</v>
      </c>
      <c r="M32" s="19">
        <v>298000</v>
      </c>
      <c r="N32" s="19">
        <v>298000</v>
      </c>
      <c r="O32" s="19">
        <f t="shared" si="0"/>
        <v>1666000</v>
      </c>
      <c r="P32" s="19">
        <v>120000</v>
      </c>
      <c r="Q32" s="19">
        <v>99000</v>
      </c>
      <c r="R32" s="19">
        <v>186725</v>
      </c>
      <c r="S32" s="19">
        <v>597180</v>
      </c>
      <c r="T32" s="19">
        <v>630195</v>
      </c>
      <c r="U32" s="19">
        <v>286215</v>
      </c>
      <c r="V32" s="19">
        <v>449815</v>
      </c>
      <c r="W32" s="19">
        <v>201360</v>
      </c>
      <c r="X32" s="19">
        <v>606860</v>
      </c>
      <c r="Y32" s="19">
        <v>459150</v>
      </c>
      <c r="Z32" s="19">
        <v>157886</v>
      </c>
      <c r="AA32" s="19">
        <v>258000</v>
      </c>
      <c r="AB32" s="19">
        <v>339000</v>
      </c>
      <c r="AC32" s="19">
        <v>4391386</v>
      </c>
      <c r="AD32" s="19">
        <v>60330</v>
      </c>
      <c r="AE32" s="19">
        <v>159000</v>
      </c>
      <c r="AF32" s="19">
        <v>321300</v>
      </c>
      <c r="AG32" s="19">
        <v>129605</v>
      </c>
      <c r="AH32" s="19">
        <v>1014195</v>
      </c>
      <c r="AI32" s="19">
        <v>253215</v>
      </c>
      <c r="AJ32" s="19">
        <v>302815</v>
      </c>
      <c r="AK32" s="19">
        <v>318360</v>
      </c>
      <c r="AL32" s="19">
        <v>417860</v>
      </c>
      <c r="AM32" s="19">
        <v>285150</v>
      </c>
      <c r="AN32" s="19">
        <v>295846</v>
      </c>
      <c r="AO32" s="19">
        <v>273000</v>
      </c>
      <c r="AP32" s="19">
        <v>519000</v>
      </c>
      <c r="AQ32" s="19">
        <v>4349676</v>
      </c>
    </row>
    <row r="33" spans="1:43" x14ac:dyDescent="0.2">
      <c r="A33" s="3" t="s">
        <v>30</v>
      </c>
      <c r="B33" s="5"/>
      <c r="C33" s="3" t="s">
        <v>38</v>
      </c>
      <c r="D33" s="9"/>
      <c r="E33" s="9" t="s">
        <v>1502</v>
      </c>
      <c r="F33" s="4">
        <v>0</v>
      </c>
      <c r="G33" s="4"/>
      <c r="H33" s="3"/>
      <c r="I33" s="19">
        <v>240000</v>
      </c>
      <c r="J33" s="19">
        <v>120000</v>
      </c>
      <c r="K33" s="19">
        <v>120000</v>
      </c>
      <c r="L33" s="19">
        <v>120000</v>
      </c>
      <c r="M33" s="19">
        <v>120000</v>
      </c>
      <c r="N33" s="19">
        <v>120000</v>
      </c>
      <c r="O33" s="19">
        <f t="shared" si="0"/>
        <v>840000</v>
      </c>
      <c r="P33" s="19">
        <v>42000</v>
      </c>
      <c r="Q33" s="19">
        <v>129931</v>
      </c>
      <c r="R33" s="19">
        <v>41000</v>
      </c>
      <c r="S33" s="19">
        <v>31000</v>
      </c>
      <c r="T33" s="19">
        <v>265015</v>
      </c>
      <c r="U33" s="19">
        <v>89010</v>
      </c>
      <c r="V33" s="19">
        <v>100005</v>
      </c>
      <c r="W33" s="19">
        <v>30000</v>
      </c>
      <c r="X33" s="19">
        <v>364895</v>
      </c>
      <c r="Y33" s="19">
        <v>105200</v>
      </c>
      <c r="Z33" s="19">
        <v>152435</v>
      </c>
      <c r="AA33" s="19">
        <v>100000</v>
      </c>
      <c r="AB33" s="19">
        <v>200000</v>
      </c>
      <c r="AC33" s="19">
        <v>1650491</v>
      </c>
      <c r="AD33" s="19">
        <v>90177</v>
      </c>
      <c r="AE33" s="19">
        <v>70958</v>
      </c>
      <c r="AF33" s="19">
        <v>198490</v>
      </c>
      <c r="AG33" s="19">
        <v>233000</v>
      </c>
      <c r="AH33" s="19">
        <v>65015</v>
      </c>
      <c r="AI33" s="19">
        <v>56010</v>
      </c>
      <c r="AJ33" s="19">
        <v>133005</v>
      </c>
      <c r="AK33" s="19">
        <v>80000</v>
      </c>
      <c r="AL33" s="19">
        <v>219895</v>
      </c>
      <c r="AM33" s="19">
        <v>249200</v>
      </c>
      <c r="AN33" s="19">
        <v>153435</v>
      </c>
      <c r="AO33" s="19">
        <v>100000</v>
      </c>
      <c r="AP33" s="19">
        <v>300000</v>
      </c>
      <c r="AQ33" s="19">
        <v>1949185</v>
      </c>
    </row>
    <row r="34" spans="1:43" x14ac:dyDescent="0.2">
      <c r="A34" s="3" t="s">
        <v>246</v>
      </c>
      <c r="B34" s="5"/>
      <c r="C34" s="3" t="s">
        <v>245</v>
      </c>
      <c r="D34" s="9"/>
      <c r="E34" s="9" t="s">
        <v>1540</v>
      </c>
      <c r="F34" s="4">
        <v>0</v>
      </c>
      <c r="G34" s="4">
        <v>200000</v>
      </c>
      <c r="H34" s="3"/>
      <c r="I34" s="19">
        <v>404500</v>
      </c>
      <c r="J34" s="19">
        <v>284500</v>
      </c>
      <c r="K34" s="19">
        <v>294500</v>
      </c>
      <c r="L34" s="19">
        <v>294500</v>
      </c>
      <c r="M34" s="19">
        <v>294500</v>
      </c>
      <c r="N34" s="19">
        <v>294500</v>
      </c>
      <c r="O34" s="19">
        <f t="shared" si="0"/>
        <v>1867000</v>
      </c>
      <c r="P34" s="19">
        <v>295000</v>
      </c>
      <c r="Q34" s="19">
        <v>190500</v>
      </c>
      <c r="R34" s="19">
        <v>244000</v>
      </c>
      <c r="S34" s="19">
        <v>60000</v>
      </c>
      <c r="T34" s="19">
        <v>80000</v>
      </c>
      <c r="U34" s="19">
        <v>230900</v>
      </c>
      <c r="V34" s="19">
        <v>239600</v>
      </c>
      <c r="W34" s="19">
        <v>110000</v>
      </c>
      <c r="X34" s="19">
        <v>0</v>
      </c>
      <c r="Y34" s="19">
        <v>159294</v>
      </c>
      <c r="Z34" s="19">
        <v>282305</v>
      </c>
      <c r="AA34" s="19">
        <v>200021</v>
      </c>
      <c r="AB34" s="19">
        <v>100014</v>
      </c>
      <c r="AC34" s="19">
        <v>2191634</v>
      </c>
      <c r="AD34" s="19">
        <v>172000</v>
      </c>
      <c r="AE34" s="19">
        <v>174755</v>
      </c>
      <c r="AF34" s="19">
        <v>362247</v>
      </c>
      <c r="AG34" s="19">
        <v>75000</v>
      </c>
      <c r="AH34" s="19">
        <v>80000</v>
      </c>
      <c r="AI34" s="19">
        <v>222000</v>
      </c>
      <c r="AJ34" s="19">
        <v>214500</v>
      </c>
      <c r="AK34" s="19">
        <v>144000</v>
      </c>
      <c r="AL34" s="19">
        <v>25000</v>
      </c>
      <c r="AM34" s="19">
        <v>91836</v>
      </c>
      <c r="AN34" s="19">
        <v>119805</v>
      </c>
      <c r="AO34" s="19">
        <v>263521</v>
      </c>
      <c r="AP34" s="19">
        <v>140014</v>
      </c>
      <c r="AQ34" s="19">
        <v>2084678</v>
      </c>
    </row>
    <row r="35" spans="1:43" x14ac:dyDescent="0.2">
      <c r="A35" s="3" t="s">
        <v>4</v>
      </c>
      <c r="B35" s="5"/>
      <c r="C35" s="3" t="s">
        <v>200</v>
      </c>
      <c r="D35" s="9"/>
      <c r="E35" s="9" t="s">
        <v>1541</v>
      </c>
      <c r="F35" s="4">
        <v>0</v>
      </c>
      <c r="G35" s="4">
        <v>150000</v>
      </c>
      <c r="H35" s="3"/>
      <c r="I35" s="19">
        <v>0</v>
      </c>
      <c r="J35" s="19">
        <v>250000</v>
      </c>
      <c r="K35" s="19">
        <v>250000</v>
      </c>
      <c r="L35" s="19">
        <v>250000</v>
      </c>
      <c r="M35" s="19">
        <v>250000</v>
      </c>
      <c r="N35" s="19">
        <v>250000</v>
      </c>
      <c r="O35" s="19">
        <f t="shared" si="0"/>
        <v>1250000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2985</v>
      </c>
      <c r="X35" s="19">
        <v>500000</v>
      </c>
      <c r="Y35" s="19">
        <v>0</v>
      </c>
      <c r="Z35" s="19">
        <v>921</v>
      </c>
      <c r="AA35" s="19">
        <v>199079</v>
      </c>
      <c r="AB35" s="19">
        <v>0</v>
      </c>
      <c r="AC35" s="19">
        <v>702985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2985</v>
      </c>
      <c r="AL35" s="19">
        <v>232765</v>
      </c>
      <c r="AM35" s="19">
        <v>268156</v>
      </c>
      <c r="AN35" s="19">
        <v>0</v>
      </c>
      <c r="AO35" s="19">
        <v>0</v>
      </c>
      <c r="AP35" s="19">
        <v>0</v>
      </c>
      <c r="AQ35" s="19">
        <v>503906</v>
      </c>
    </row>
    <row r="36" spans="1:43" x14ac:dyDescent="0.2">
      <c r="A36" s="3" t="s">
        <v>213</v>
      </c>
      <c r="B36" s="5"/>
      <c r="C36" s="3" t="s">
        <v>1569</v>
      </c>
      <c r="D36" s="9"/>
      <c r="E36" s="9" t="s">
        <v>1561</v>
      </c>
      <c r="F36" s="4">
        <v>0</v>
      </c>
      <c r="G36" s="4">
        <v>150000</v>
      </c>
      <c r="H36" s="3"/>
      <c r="I36" s="19">
        <v>200000</v>
      </c>
      <c r="J36" s="19">
        <v>200000</v>
      </c>
      <c r="K36" s="19">
        <v>200000</v>
      </c>
      <c r="L36" s="19">
        <v>200000</v>
      </c>
      <c r="M36" s="19">
        <v>200000</v>
      </c>
      <c r="N36" s="19">
        <v>200000</v>
      </c>
      <c r="O36" s="19">
        <f t="shared" si="0"/>
        <v>1200000</v>
      </c>
      <c r="P36" s="19">
        <v>204000</v>
      </c>
      <c r="Q36" s="19">
        <v>350000</v>
      </c>
      <c r="R36" s="19">
        <v>200000</v>
      </c>
      <c r="S36" s="19">
        <v>199114</v>
      </c>
      <c r="T36" s="19">
        <v>300000</v>
      </c>
      <c r="U36" s="19">
        <v>0</v>
      </c>
      <c r="V36" s="19">
        <v>0</v>
      </c>
      <c r="W36" s="19">
        <v>0</v>
      </c>
      <c r="X36" s="19">
        <v>100000</v>
      </c>
      <c r="Y36" s="19">
        <v>192794</v>
      </c>
      <c r="Z36" s="19">
        <v>207206</v>
      </c>
      <c r="AA36" s="19">
        <v>0</v>
      </c>
      <c r="AB36" s="19">
        <v>150000</v>
      </c>
      <c r="AC36" s="19">
        <v>1903114</v>
      </c>
      <c r="AD36" s="19">
        <v>4000</v>
      </c>
      <c r="AE36" s="19">
        <v>128000</v>
      </c>
      <c r="AF36" s="19">
        <v>119486</v>
      </c>
      <c r="AG36" s="19">
        <v>224000</v>
      </c>
      <c r="AH36" s="19">
        <v>172000</v>
      </c>
      <c r="AI36" s="19">
        <v>200000</v>
      </c>
      <c r="AJ36" s="19">
        <v>0</v>
      </c>
      <c r="AK36" s="19">
        <v>344000</v>
      </c>
      <c r="AL36" s="19">
        <v>100000</v>
      </c>
      <c r="AM36" s="19">
        <v>0</v>
      </c>
      <c r="AN36" s="19">
        <v>151206</v>
      </c>
      <c r="AO36" s="19">
        <v>296000</v>
      </c>
      <c r="AP36" s="19">
        <v>0</v>
      </c>
      <c r="AQ36" s="19">
        <v>1738692</v>
      </c>
    </row>
    <row r="37" spans="1:43" x14ac:dyDescent="0.2">
      <c r="A37" s="3" t="s">
        <v>68</v>
      </c>
      <c r="B37" s="5"/>
      <c r="C37" s="3" t="s">
        <v>72</v>
      </c>
      <c r="D37" s="9"/>
      <c r="E37" s="9" t="s">
        <v>1533</v>
      </c>
      <c r="F37" s="4">
        <v>0</v>
      </c>
      <c r="G37" s="4">
        <v>200000</v>
      </c>
      <c r="H37" s="3"/>
      <c r="I37" s="19">
        <v>379000</v>
      </c>
      <c r="J37" s="19">
        <v>379000</v>
      </c>
      <c r="K37" s="19">
        <v>379000</v>
      </c>
      <c r="L37" s="19">
        <v>379000</v>
      </c>
      <c r="M37" s="19">
        <v>379000</v>
      </c>
      <c r="N37" s="19">
        <v>379000</v>
      </c>
      <c r="O37" s="19">
        <f t="shared" si="0"/>
        <v>2274000</v>
      </c>
      <c r="P37" s="19">
        <v>39000</v>
      </c>
      <c r="Q37" s="19">
        <v>0</v>
      </c>
      <c r="R37" s="19">
        <v>36000</v>
      </c>
      <c r="S37" s="19">
        <v>30000</v>
      </c>
      <c r="T37" s="19">
        <v>18000</v>
      </c>
      <c r="U37" s="19">
        <v>159050</v>
      </c>
      <c r="V37" s="19">
        <v>159020</v>
      </c>
      <c r="W37" s="19">
        <v>132025</v>
      </c>
      <c r="X37" s="19">
        <v>372000</v>
      </c>
      <c r="Y37" s="19">
        <v>243200</v>
      </c>
      <c r="Z37" s="19">
        <v>249000</v>
      </c>
      <c r="AA37" s="19">
        <v>399000</v>
      </c>
      <c r="AB37" s="19">
        <v>9005</v>
      </c>
      <c r="AC37" s="19">
        <v>1845300</v>
      </c>
      <c r="AD37" s="19">
        <v>9000</v>
      </c>
      <c r="AE37" s="19">
        <v>36000</v>
      </c>
      <c r="AF37" s="19">
        <v>42000</v>
      </c>
      <c r="AG37" s="19">
        <v>24000</v>
      </c>
      <c r="AH37" s="19">
        <v>18000</v>
      </c>
      <c r="AI37" s="19">
        <v>108050</v>
      </c>
      <c r="AJ37" s="19">
        <v>210020</v>
      </c>
      <c r="AK37" s="19">
        <v>132025</v>
      </c>
      <c r="AL37" s="19">
        <v>102000</v>
      </c>
      <c r="AM37" s="19">
        <v>354200</v>
      </c>
      <c r="AN37" s="19">
        <v>324000</v>
      </c>
      <c r="AO37" s="19">
        <v>483000</v>
      </c>
      <c r="AP37" s="19">
        <v>9005</v>
      </c>
      <c r="AQ37" s="19">
        <v>1851300</v>
      </c>
    </row>
    <row r="38" spans="1:43" x14ac:dyDescent="0.2">
      <c r="A38" s="3" t="s">
        <v>102</v>
      </c>
      <c r="B38" s="5"/>
      <c r="C38" s="3" t="s">
        <v>107</v>
      </c>
      <c r="D38" s="9"/>
      <c r="E38" s="9" t="s">
        <v>1510</v>
      </c>
      <c r="F38" s="4">
        <v>0</v>
      </c>
      <c r="G38" s="4">
        <v>400000</v>
      </c>
      <c r="H38" s="3"/>
      <c r="I38" s="19">
        <v>430000</v>
      </c>
      <c r="J38" s="19">
        <v>430000</v>
      </c>
      <c r="K38" s="19">
        <v>430000</v>
      </c>
      <c r="L38" s="19">
        <v>430000</v>
      </c>
      <c r="M38" s="19">
        <v>430000</v>
      </c>
      <c r="N38" s="19">
        <v>430000</v>
      </c>
      <c r="O38" s="19">
        <f t="shared" si="0"/>
        <v>2580000</v>
      </c>
      <c r="P38" s="19">
        <v>0</v>
      </c>
      <c r="Q38" s="19">
        <v>81000</v>
      </c>
      <c r="R38" s="19">
        <v>189000</v>
      </c>
      <c r="S38" s="19">
        <v>541000</v>
      </c>
      <c r="T38" s="19">
        <v>307268</v>
      </c>
      <c r="U38" s="19">
        <v>213160</v>
      </c>
      <c r="V38" s="19">
        <v>120010</v>
      </c>
      <c r="W38" s="19">
        <v>306000</v>
      </c>
      <c r="X38" s="19">
        <v>123005</v>
      </c>
      <c r="Y38" s="19">
        <v>342005</v>
      </c>
      <c r="Z38" s="19">
        <v>431015</v>
      </c>
      <c r="AA38" s="19">
        <v>240005</v>
      </c>
      <c r="AB38" s="19">
        <v>120005</v>
      </c>
      <c r="AC38" s="19">
        <v>3013473</v>
      </c>
      <c r="AD38" s="19">
        <v>294000</v>
      </c>
      <c r="AE38" s="19">
        <v>96000</v>
      </c>
      <c r="AF38" s="19">
        <v>120000</v>
      </c>
      <c r="AG38" s="19">
        <v>411000</v>
      </c>
      <c r="AH38" s="19">
        <v>50268</v>
      </c>
      <c r="AI38" s="19">
        <v>603160</v>
      </c>
      <c r="AJ38" s="19">
        <v>201010</v>
      </c>
      <c r="AK38" s="19">
        <v>309000</v>
      </c>
      <c r="AL38" s="19">
        <v>123005</v>
      </c>
      <c r="AM38" s="19">
        <v>354005</v>
      </c>
      <c r="AN38" s="19">
        <v>386015</v>
      </c>
      <c r="AO38" s="19">
        <v>273005</v>
      </c>
      <c r="AP38" s="19">
        <v>114005</v>
      </c>
      <c r="AQ38" s="19">
        <v>3334473</v>
      </c>
    </row>
    <row r="39" spans="1:43" x14ac:dyDescent="0.2">
      <c r="A39" s="3" t="s">
        <v>120</v>
      </c>
      <c r="B39" s="5"/>
      <c r="C39" s="3" t="s">
        <v>119</v>
      </c>
      <c r="D39" s="9"/>
      <c r="E39" s="9" t="s">
        <v>1562</v>
      </c>
      <c r="F39" s="4">
        <v>25</v>
      </c>
      <c r="G39" s="4">
        <v>100000</v>
      </c>
      <c r="H39" s="3"/>
      <c r="I39" s="19">
        <v>352000</v>
      </c>
      <c r="J39" s="19">
        <v>552000</v>
      </c>
      <c r="K39" s="19">
        <v>362000</v>
      </c>
      <c r="L39" s="19">
        <v>362000</v>
      </c>
      <c r="M39" s="19">
        <v>562000</v>
      </c>
      <c r="N39" s="19">
        <v>562000</v>
      </c>
      <c r="O39" s="19">
        <f t="shared" si="0"/>
        <v>2752000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84000</v>
      </c>
      <c r="AB39" s="19">
        <v>219000</v>
      </c>
      <c r="AC39" s="19">
        <v>303000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84000</v>
      </c>
      <c r="AQ39" s="19">
        <v>84000</v>
      </c>
    </row>
    <row r="40" spans="1:43" x14ac:dyDescent="0.2">
      <c r="A40" s="3" t="s">
        <v>141</v>
      </c>
      <c r="B40" s="5"/>
      <c r="C40" s="3" t="s">
        <v>140</v>
      </c>
      <c r="D40" s="9"/>
      <c r="E40" s="9" t="s">
        <v>1563</v>
      </c>
      <c r="F40" s="4">
        <v>100</v>
      </c>
      <c r="G40" s="4">
        <v>200000</v>
      </c>
      <c r="H40" s="3"/>
      <c r="I40" s="19">
        <v>150000</v>
      </c>
      <c r="J40" s="19">
        <v>150000</v>
      </c>
      <c r="K40" s="19">
        <v>150000</v>
      </c>
      <c r="L40" s="19">
        <v>151000</v>
      </c>
      <c r="M40" s="19">
        <v>151000</v>
      </c>
      <c r="N40" s="19">
        <v>151000</v>
      </c>
      <c r="O40" s="19">
        <f t="shared" si="0"/>
        <v>903000</v>
      </c>
      <c r="P40" s="19">
        <v>477000</v>
      </c>
      <c r="Q40" s="19">
        <v>405000</v>
      </c>
      <c r="R40" s="19">
        <v>357320</v>
      </c>
      <c r="S40" s="19">
        <v>495186</v>
      </c>
      <c r="T40" s="19">
        <v>123070</v>
      </c>
      <c r="U40" s="19">
        <v>660010</v>
      </c>
      <c r="V40" s="19">
        <v>120071</v>
      </c>
      <c r="W40" s="19">
        <v>178582</v>
      </c>
      <c r="X40" s="19">
        <v>117113</v>
      </c>
      <c r="Y40" s="19">
        <v>159265</v>
      </c>
      <c r="Z40" s="19">
        <v>343365</v>
      </c>
      <c r="AA40" s="19">
        <v>78560</v>
      </c>
      <c r="AB40" s="19">
        <v>228</v>
      </c>
      <c r="AC40" s="19">
        <v>3514770</v>
      </c>
      <c r="AD40" s="19">
        <v>579000</v>
      </c>
      <c r="AE40" s="19">
        <v>348000</v>
      </c>
      <c r="AF40" s="19">
        <v>96000</v>
      </c>
      <c r="AG40" s="19">
        <v>342506</v>
      </c>
      <c r="AH40" s="19">
        <v>420070</v>
      </c>
      <c r="AI40" s="19">
        <v>666010</v>
      </c>
      <c r="AJ40" s="19">
        <v>312071</v>
      </c>
      <c r="AK40" s="19">
        <v>169582</v>
      </c>
      <c r="AL40" s="19">
        <v>126113</v>
      </c>
      <c r="AM40" s="19">
        <v>159265</v>
      </c>
      <c r="AN40" s="19">
        <v>373365</v>
      </c>
      <c r="AO40" s="19">
        <v>48560</v>
      </c>
      <c r="AP40" s="19">
        <v>228</v>
      </c>
      <c r="AQ40" s="19">
        <v>3640770</v>
      </c>
    </row>
    <row r="41" spans="1:43" x14ac:dyDescent="0.2">
      <c r="A41" s="3" t="s">
        <v>141</v>
      </c>
      <c r="B41" s="5"/>
      <c r="C41" s="3" t="s">
        <v>142</v>
      </c>
      <c r="D41" s="9"/>
      <c r="E41" s="9" t="s">
        <v>1511</v>
      </c>
      <c r="F41" s="4">
        <v>0</v>
      </c>
      <c r="G41" s="4">
        <v>100000</v>
      </c>
      <c r="H41" s="3"/>
      <c r="I41" s="19">
        <v>128000</v>
      </c>
      <c r="J41" s="19">
        <v>130000</v>
      </c>
      <c r="K41" s="19">
        <v>133000</v>
      </c>
      <c r="L41" s="19">
        <v>145000</v>
      </c>
      <c r="M41" s="19">
        <v>150000</v>
      </c>
      <c r="N41" s="19">
        <v>150000</v>
      </c>
      <c r="O41" s="19">
        <f t="shared" si="0"/>
        <v>836000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108000</v>
      </c>
      <c r="AB41" s="19">
        <v>186000</v>
      </c>
      <c r="AC41" s="19">
        <v>294000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120000</v>
      </c>
      <c r="AP41" s="19">
        <v>240000</v>
      </c>
      <c r="AQ41" s="19">
        <v>360000</v>
      </c>
    </row>
    <row r="42" spans="1:43" x14ac:dyDescent="0.2">
      <c r="A42" s="3" t="s">
        <v>148</v>
      </c>
      <c r="B42" s="5"/>
      <c r="C42" s="3" t="s">
        <v>147</v>
      </c>
      <c r="D42" s="9"/>
      <c r="E42" s="9" t="s">
        <v>1517</v>
      </c>
      <c r="F42" s="4">
        <v>25</v>
      </c>
      <c r="G42" s="4"/>
      <c r="H42" s="3"/>
      <c r="I42" s="19">
        <v>0</v>
      </c>
      <c r="J42" s="19">
        <v>200000</v>
      </c>
      <c r="K42" s="19">
        <v>215000</v>
      </c>
      <c r="L42" s="19">
        <v>150000</v>
      </c>
      <c r="M42" s="19">
        <v>215000</v>
      </c>
      <c r="N42" s="19">
        <v>215000</v>
      </c>
      <c r="O42" s="19">
        <f t="shared" si="0"/>
        <v>995000</v>
      </c>
      <c r="P42" s="19">
        <v>200000</v>
      </c>
      <c r="Q42" s="19">
        <v>303000</v>
      </c>
      <c r="R42" s="19">
        <v>378813</v>
      </c>
      <c r="S42" s="19">
        <v>30000</v>
      </c>
      <c r="T42" s="19">
        <v>51000</v>
      </c>
      <c r="U42" s="19">
        <v>0</v>
      </c>
      <c r="V42" s="19">
        <v>72000</v>
      </c>
      <c r="W42" s="19">
        <v>0</v>
      </c>
      <c r="X42" s="19">
        <v>0</v>
      </c>
      <c r="Y42" s="19">
        <v>0</v>
      </c>
      <c r="Z42" s="19">
        <v>210000</v>
      </c>
      <c r="AA42" s="19">
        <v>180020</v>
      </c>
      <c r="AB42" s="19">
        <v>180</v>
      </c>
      <c r="AC42" s="19">
        <v>1425013</v>
      </c>
      <c r="AD42" s="19">
        <v>0</v>
      </c>
      <c r="AE42" s="19">
        <v>3000</v>
      </c>
      <c r="AF42" s="19">
        <v>0</v>
      </c>
      <c r="AG42" s="19">
        <v>644976</v>
      </c>
      <c r="AH42" s="19">
        <v>51000</v>
      </c>
      <c r="AI42" s="19">
        <v>0</v>
      </c>
      <c r="AJ42" s="19">
        <v>72000</v>
      </c>
      <c r="AK42" s="19">
        <v>0</v>
      </c>
      <c r="AL42" s="19">
        <v>0</v>
      </c>
      <c r="AM42" s="19">
        <v>180000</v>
      </c>
      <c r="AN42" s="19">
        <v>189000</v>
      </c>
      <c r="AO42" s="19">
        <v>21020</v>
      </c>
      <c r="AP42" s="19">
        <v>180</v>
      </c>
      <c r="AQ42" s="19">
        <v>1161176</v>
      </c>
    </row>
    <row r="43" spans="1:43" x14ac:dyDescent="0.2">
      <c r="A43" s="3" t="s">
        <v>4</v>
      </c>
      <c r="B43" s="5"/>
      <c r="C43" s="3" t="s">
        <v>203</v>
      </c>
      <c r="D43" s="9"/>
      <c r="E43" s="9" t="s">
        <v>509</v>
      </c>
      <c r="F43" s="4">
        <v>0</v>
      </c>
      <c r="G43" s="4">
        <v>50000</v>
      </c>
      <c r="H43" s="3"/>
      <c r="I43" s="19">
        <v>75000</v>
      </c>
      <c r="J43" s="19">
        <v>30000</v>
      </c>
      <c r="K43" s="19">
        <v>80000</v>
      </c>
      <c r="L43" s="19">
        <v>30000</v>
      </c>
      <c r="M43" s="19">
        <v>80000</v>
      </c>
      <c r="N43" s="19">
        <v>80000</v>
      </c>
      <c r="O43" s="19">
        <f t="shared" si="0"/>
        <v>375000</v>
      </c>
      <c r="P43" s="19">
        <v>0</v>
      </c>
      <c r="Q43" s="19">
        <v>0</v>
      </c>
      <c r="R43" s="19">
        <v>1000</v>
      </c>
      <c r="S43" s="19">
        <v>0</v>
      </c>
      <c r="T43" s="19">
        <v>0</v>
      </c>
      <c r="U43" s="19">
        <v>0</v>
      </c>
      <c r="V43" s="19">
        <v>2000</v>
      </c>
      <c r="W43" s="19">
        <v>0</v>
      </c>
      <c r="X43" s="19">
        <v>10897</v>
      </c>
      <c r="Y43" s="19">
        <v>9000</v>
      </c>
      <c r="Z43" s="19">
        <v>32800</v>
      </c>
      <c r="AA43" s="19">
        <v>92000</v>
      </c>
      <c r="AB43" s="19">
        <v>58823</v>
      </c>
      <c r="AC43" s="19">
        <v>206520</v>
      </c>
      <c r="AD43" s="19">
        <v>0</v>
      </c>
      <c r="AE43" s="19">
        <v>0</v>
      </c>
      <c r="AF43" s="19">
        <v>1000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29000</v>
      </c>
      <c r="AM43" s="19">
        <v>22710</v>
      </c>
      <c r="AN43" s="19">
        <v>34810</v>
      </c>
      <c r="AO43" s="19">
        <v>89103</v>
      </c>
      <c r="AP43" s="19">
        <v>0</v>
      </c>
      <c r="AQ43" s="19">
        <v>176623</v>
      </c>
    </row>
    <row r="44" spans="1:43" x14ac:dyDescent="0.2">
      <c r="A44" s="3" t="s">
        <v>4</v>
      </c>
      <c r="B44" s="5"/>
      <c r="C44" s="3" t="s">
        <v>205</v>
      </c>
      <c r="D44" s="9"/>
      <c r="E44" s="9" t="s">
        <v>1531</v>
      </c>
      <c r="F44" s="4">
        <v>0</v>
      </c>
      <c r="G44" s="4">
        <v>50000</v>
      </c>
      <c r="H44" s="3"/>
      <c r="I44" s="19">
        <v>20000</v>
      </c>
      <c r="J44" s="19">
        <v>58400</v>
      </c>
      <c r="K44" s="19">
        <v>64400</v>
      </c>
      <c r="L44" s="19">
        <v>64400</v>
      </c>
      <c r="M44" s="19">
        <v>64400</v>
      </c>
      <c r="N44" s="19">
        <v>64400</v>
      </c>
      <c r="O44" s="19">
        <f t="shared" si="0"/>
        <v>336000</v>
      </c>
      <c r="P44" s="19">
        <v>500</v>
      </c>
      <c r="Q44" s="19">
        <v>5000</v>
      </c>
      <c r="R44" s="19">
        <v>0</v>
      </c>
      <c r="S44" s="19">
        <v>0</v>
      </c>
      <c r="T44" s="19">
        <v>6000</v>
      </c>
      <c r="U44" s="19">
        <v>16269</v>
      </c>
      <c r="V44" s="19">
        <v>10030</v>
      </c>
      <c r="W44" s="19">
        <v>10000</v>
      </c>
      <c r="X44" s="19">
        <v>0</v>
      </c>
      <c r="Y44" s="19">
        <v>26</v>
      </c>
      <c r="Z44" s="19">
        <v>10093</v>
      </c>
      <c r="AA44" s="19">
        <v>0</v>
      </c>
      <c r="AB44" s="19">
        <v>2000</v>
      </c>
      <c r="AC44" s="19">
        <v>59918</v>
      </c>
      <c r="AD44" s="19">
        <v>6500</v>
      </c>
      <c r="AE44" s="19">
        <v>5000</v>
      </c>
      <c r="AF44" s="19">
        <v>0</v>
      </c>
      <c r="AG44" s="19">
        <v>0</v>
      </c>
      <c r="AH44" s="19">
        <v>6269</v>
      </c>
      <c r="AI44" s="19">
        <v>11000</v>
      </c>
      <c r="AJ44" s="19">
        <v>15030</v>
      </c>
      <c r="AK44" s="19">
        <v>25200</v>
      </c>
      <c r="AL44" s="19">
        <v>11000</v>
      </c>
      <c r="AM44" s="19">
        <v>6703</v>
      </c>
      <c r="AN44" s="19">
        <v>4004</v>
      </c>
      <c r="AO44" s="19">
        <v>5000</v>
      </c>
      <c r="AP44" s="19">
        <v>7732</v>
      </c>
      <c r="AQ44" s="19">
        <v>103438</v>
      </c>
    </row>
    <row r="45" spans="1:43" x14ac:dyDescent="0.2">
      <c r="A45" s="3" t="s">
        <v>4</v>
      </c>
      <c r="B45" s="5"/>
      <c r="C45" s="3" t="s">
        <v>207</v>
      </c>
      <c r="D45" s="9"/>
      <c r="E45" s="9" t="s">
        <v>1532</v>
      </c>
      <c r="F45" s="4">
        <v>0</v>
      </c>
      <c r="G45" s="4">
        <v>50000</v>
      </c>
      <c r="H45" s="3"/>
      <c r="I45" s="19">
        <v>7000</v>
      </c>
      <c r="J45" s="19">
        <v>27000</v>
      </c>
      <c r="K45" s="19">
        <v>18000</v>
      </c>
      <c r="L45" s="19">
        <v>24000</v>
      </c>
      <c r="M45" s="19">
        <v>24000</v>
      </c>
      <c r="N45" s="19">
        <v>24000</v>
      </c>
      <c r="O45" s="19">
        <f t="shared" si="0"/>
        <v>124000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2000</v>
      </c>
      <c r="W45" s="19">
        <v>2200</v>
      </c>
      <c r="X45" s="19">
        <v>5000</v>
      </c>
      <c r="Y45" s="19">
        <v>0</v>
      </c>
      <c r="Z45" s="19">
        <v>200</v>
      </c>
      <c r="AA45" s="19">
        <v>5000</v>
      </c>
      <c r="AB45" s="19">
        <v>100</v>
      </c>
      <c r="AC45" s="19">
        <v>14500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2000</v>
      </c>
      <c r="AK45" s="19">
        <v>500</v>
      </c>
      <c r="AL45" s="19">
        <v>0</v>
      </c>
      <c r="AM45" s="19">
        <v>6000</v>
      </c>
      <c r="AN45" s="19">
        <v>900</v>
      </c>
      <c r="AO45" s="19">
        <v>5000</v>
      </c>
      <c r="AP45" s="19">
        <v>13100</v>
      </c>
      <c r="AQ45" s="19">
        <v>27500</v>
      </c>
    </row>
    <row r="46" spans="1:43" x14ac:dyDescent="0.2">
      <c r="A46" s="3" t="s">
        <v>219</v>
      </c>
      <c r="B46" s="5"/>
      <c r="C46" s="3" t="s">
        <v>218</v>
      </c>
      <c r="D46" s="9"/>
      <c r="E46" s="9" t="s">
        <v>1526</v>
      </c>
      <c r="F46" s="4">
        <v>25</v>
      </c>
      <c r="G46" s="4">
        <v>300000</v>
      </c>
      <c r="H46" s="3"/>
      <c r="I46" s="19">
        <v>262500</v>
      </c>
      <c r="J46" s="19">
        <v>312500</v>
      </c>
      <c r="K46" s="19">
        <v>315000</v>
      </c>
      <c r="L46" s="19">
        <v>315000</v>
      </c>
      <c r="M46" s="19">
        <v>315000</v>
      </c>
      <c r="N46" s="19">
        <v>315000</v>
      </c>
      <c r="O46" s="19">
        <f t="shared" si="0"/>
        <v>1835000</v>
      </c>
      <c r="P46" s="19">
        <v>10000</v>
      </c>
      <c r="Q46" s="19">
        <v>29000</v>
      </c>
      <c r="R46" s="19">
        <v>46000</v>
      </c>
      <c r="S46" s="19">
        <v>30000</v>
      </c>
      <c r="T46" s="19">
        <v>28000</v>
      </c>
      <c r="U46" s="19">
        <v>99000</v>
      </c>
      <c r="V46" s="19">
        <v>100000</v>
      </c>
      <c r="W46" s="19">
        <v>145792</v>
      </c>
      <c r="X46" s="19">
        <v>115000</v>
      </c>
      <c r="Y46" s="19">
        <v>80000</v>
      </c>
      <c r="Z46" s="19">
        <v>190000</v>
      </c>
      <c r="AA46" s="19">
        <v>100000</v>
      </c>
      <c r="AB46" s="19">
        <v>176000</v>
      </c>
      <c r="AC46" s="19">
        <v>1148792</v>
      </c>
      <c r="AD46" s="19">
        <v>0</v>
      </c>
      <c r="AE46" s="19">
        <v>15000</v>
      </c>
      <c r="AF46" s="19">
        <v>48000</v>
      </c>
      <c r="AG46" s="19">
        <v>58000</v>
      </c>
      <c r="AH46" s="19">
        <v>34000</v>
      </c>
      <c r="AI46" s="19">
        <v>150792</v>
      </c>
      <c r="AJ46" s="19">
        <v>70000</v>
      </c>
      <c r="AK46" s="19">
        <v>112000</v>
      </c>
      <c r="AL46" s="19">
        <v>55000</v>
      </c>
      <c r="AM46" s="19">
        <v>170000</v>
      </c>
      <c r="AN46" s="19">
        <v>160000</v>
      </c>
      <c r="AO46" s="19">
        <v>66000</v>
      </c>
      <c r="AP46" s="19">
        <v>80000</v>
      </c>
      <c r="AQ46" s="19">
        <v>1018792</v>
      </c>
    </row>
    <row r="47" spans="1:43" x14ac:dyDescent="0.2">
      <c r="A47" s="3" t="s">
        <v>239</v>
      </c>
      <c r="B47" s="5"/>
      <c r="C47" s="3" t="s">
        <v>238</v>
      </c>
      <c r="D47" s="9"/>
      <c r="E47" s="9" t="s">
        <v>1505</v>
      </c>
      <c r="F47" s="4">
        <v>0</v>
      </c>
      <c r="G47" s="4">
        <v>100000</v>
      </c>
      <c r="H47" s="3"/>
      <c r="I47" s="19">
        <v>92000</v>
      </c>
      <c r="J47" s="19">
        <v>92000</v>
      </c>
      <c r="K47" s="19">
        <v>92000</v>
      </c>
      <c r="L47" s="19">
        <v>92000</v>
      </c>
      <c r="M47" s="19">
        <v>92000</v>
      </c>
      <c r="N47" s="19">
        <v>92000</v>
      </c>
      <c r="O47" s="19">
        <f t="shared" si="0"/>
        <v>552000</v>
      </c>
      <c r="P47" s="19">
        <v>135000</v>
      </c>
      <c r="Q47" s="19">
        <v>140100</v>
      </c>
      <c r="R47" s="19">
        <v>128000</v>
      </c>
      <c r="S47" s="19">
        <v>49000</v>
      </c>
      <c r="T47" s="19">
        <v>28005</v>
      </c>
      <c r="U47" s="19">
        <v>86020</v>
      </c>
      <c r="V47" s="19">
        <v>58036</v>
      </c>
      <c r="W47" s="19">
        <v>49139</v>
      </c>
      <c r="X47" s="19">
        <v>68000</v>
      </c>
      <c r="Y47" s="19">
        <v>128383</v>
      </c>
      <c r="Z47" s="19">
        <v>172010</v>
      </c>
      <c r="AA47" s="19">
        <v>100073</v>
      </c>
      <c r="AB47" s="19">
        <v>135375</v>
      </c>
      <c r="AC47" s="19">
        <v>1277141</v>
      </c>
      <c r="AD47" s="19">
        <v>143000</v>
      </c>
      <c r="AE47" s="19">
        <v>128100</v>
      </c>
      <c r="AF47" s="19">
        <v>118000</v>
      </c>
      <c r="AG47" s="19">
        <v>51000</v>
      </c>
      <c r="AH47" s="19">
        <v>56005</v>
      </c>
      <c r="AI47" s="19">
        <v>84020</v>
      </c>
      <c r="AJ47" s="19">
        <v>55036</v>
      </c>
      <c r="AK47" s="19">
        <v>49139</v>
      </c>
      <c r="AL47" s="19">
        <v>66000</v>
      </c>
      <c r="AM47" s="19">
        <v>130383</v>
      </c>
      <c r="AN47" s="19">
        <v>130957</v>
      </c>
      <c r="AO47" s="19">
        <v>131296</v>
      </c>
      <c r="AP47" s="19">
        <v>104375</v>
      </c>
      <c r="AQ47" s="19">
        <v>1247311</v>
      </c>
    </row>
    <row r="48" spans="1:43" x14ac:dyDescent="0.2">
      <c r="A48" s="3" t="s">
        <v>266</v>
      </c>
      <c r="B48" s="5"/>
      <c r="C48" s="3" t="s">
        <v>269</v>
      </c>
      <c r="D48" s="9"/>
      <c r="E48" s="9" t="s">
        <v>1523</v>
      </c>
      <c r="F48" s="4">
        <v>0</v>
      </c>
      <c r="G48" s="4">
        <v>200000</v>
      </c>
      <c r="H48" s="3"/>
      <c r="I48" s="19">
        <v>120000</v>
      </c>
      <c r="J48" s="19">
        <v>120000</v>
      </c>
      <c r="K48" s="19">
        <v>125000</v>
      </c>
      <c r="L48" s="19">
        <v>125000</v>
      </c>
      <c r="M48" s="19">
        <v>103000</v>
      </c>
      <c r="N48" s="19">
        <v>103000</v>
      </c>
      <c r="O48" s="19">
        <f t="shared" si="0"/>
        <v>696000</v>
      </c>
      <c r="P48" s="19">
        <v>63000</v>
      </c>
      <c r="Q48" s="19">
        <v>10500</v>
      </c>
      <c r="R48" s="19">
        <v>221500</v>
      </c>
      <c r="S48" s="19">
        <v>124500</v>
      </c>
      <c r="T48" s="19">
        <v>210000</v>
      </c>
      <c r="U48" s="19">
        <v>138000</v>
      </c>
      <c r="V48" s="19">
        <v>33000</v>
      </c>
      <c r="W48" s="19">
        <v>0</v>
      </c>
      <c r="X48" s="19">
        <v>147500</v>
      </c>
      <c r="Y48" s="19">
        <v>263550</v>
      </c>
      <c r="Z48" s="19">
        <v>55500</v>
      </c>
      <c r="AA48" s="19">
        <v>33000</v>
      </c>
      <c r="AB48" s="19">
        <v>150000</v>
      </c>
      <c r="AC48" s="19">
        <v>1450050</v>
      </c>
      <c r="AD48" s="19">
        <v>63000</v>
      </c>
      <c r="AE48" s="19">
        <v>99000</v>
      </c>
      <c r="AF48" s="19">
        <v>132000</v>
      </c>
      <c r="AG48" s="19">
        <v>112500</v>
      </c>
      <c r="AH48" s="19">
        <v>178500</v>
      </c>
      <c r="AI48" s="19">
        <v>121500</v>
      </c>
      <c r="AJ48" s="19">
        <v>48000</v>
      </c>
      <c r="AK48" s="19">
        <v>42000</v>
      </c>
      <c r="AL48" s="19">
        <v>91550</v>
      </c>
      <c r="AM48" s="19">
        <v>214500</v>
      </c>
      <c r="AN48" s="19">
        <v>162000</v>
      </c>
      <c r="AO48" s="19">
        <v>63000</v>
      </c>
      <c r="AP48" s="19">
        <v>39000</v>
      </c>
      <c r="AQ48" s="19">
        <v>1366550</v>
      </c>
    </row>
    <row r="49" spans="1:43" x14ac:dyDescent="0.2">
      <c r="A49" s="3"/>
      <c r="B49" s="5"/>
      <c r="C49" s="3"/>
      <c r="D49" s="9"/>
      <c r="E49" s="9" t="s">
        <v>1504</v>
      </c>
      <c r="F49" s="4"/>
      <c r="G49" s="4">
        <v>200000</v>
      </c>
      <c r="H49" s="3"/>
      <c r="I49" s="19"/>
      <c r="J49" s="19"/>
      <c r="K49" s="19"/>
      <c r="L49" s="19"/>
      <c r="M49" s="19"/>
      <c r="N49" s="19"/>
      <c r="O49" s="19">
        <f t="shared" si="0"/>
        <v>0</v>
      </c>
      <c r="P49" s="19">
        <v>6000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46716</v>
      </c>
      <c r="AB49" s="19">
        <v>50000</v>
      </c>
      <c r="AC49" s="19">
        <v>102716</v>
      </c>
      <c r="AD49" s="19">
        <v>6000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46716</v>
      </c>
      <c r="AP49" s="19">
        <v>50000</v>
      </c>
      <c r="AQ49" s="19">
        <v>102716</v>
      </c>
    </row>
    <row r="50" spans="1:43" x14ac:dyDescent="0.2">
      <c r="A50" s="3" t="s">
        <v>65</v>
      </c>
      <c r="B50" s="5"/>
      <c r="C50" s="3" t="s">
        <v>64</v>
      </c>
      <c r="D50" s="9"/>
      <c r="E50" s="9" t="s">
        <v>1534</v>
      </c>
      <c r="F50" s="4">
        <v>0</v>
      </c>
      <c r="G50" s="4">
        <v>100000</v>
      </c>
      <c r="H50" s="3"/>
      <c r="I50" s="19">
        <v>60000</v>
      </c>
      <c r="J50" s="19">
        <v>60000</v>
      </c>
      <c r="K50" s="19">
        <v>65000</v>
      </c>
      <c r="L50" s="19">
        <v>65000</v>
      </c>
      <c r="M50" s="19">
        <v>65000</v>
      </c>
      <c r="N50" s="19">
        <v>65000</v>
      </c>
      <c r="O50" s="19">
        <f t="shared" si="0"/>
        <v>380000</v>
      </c>
      <c r="P50" s="19">
        <v>0</v>
      </c>
      <c r="Q50" s="19">
        <v>270000</v>
      </c>
      <c r="R50" s="19">
        <v>0</v>
      </c>
      <c r="S50" s="19">
        <v>165000</v>
      </c>
      <c r="T50" s="19">
        <v>0</v>
      </c>
      <c r="U50" s="19">
        <v>102000</v>
      </c>
      <c r="V50" s="19">
        <v>150000</v>
      </c>
      <c r="W50" s="19">
        <v>9055</v>
      </c>
      <c r="X50" s="19">
        <v>20</v>
      </c>
      <c r="Y50" s="19">
        <v>120</v>
      </c>
      <c r="Z50" s="19">
        <v>60105</v>
      </c>
      <c r="AA50" s="19">
        <v>63065</v>
      </c>
      <c r="AB50" s="19">
        <v>90005</v>
      </c>
      <c r="AC50" s="19">
        <v>909370</v>
      </c>
      <c r="AD50" s="19">
        <v>18000</v>
      </c>
      <c r="AE50" s="19">
        <v>228000</v>
      </c>
      <c r="AF50" s="19">
        <v>75000</v>
      </c>
      <c r="AG50" s="19">
        <v>72000</v>
      </c>
      <c r="AH50" s="19">
        <v>42000</v>
      </c>
      <c r="AI50" s="19">
        <v>183000</v>
      </c>
      <c r="AJ50" s="19">
        <v>0</v>
      </c>
      <c r="AK50" s="19">
        <v>78055</v>
      </c>
      <c r="AL50" s="19">
        <v>20</v>
      </c>
      <c r="AM50" s="19">
        <v>120</v>
      </c>
      <c r="AN50" s="19">
        <v>60105</v>
      </c>
      <c r="AO50" s="19">
        <v>63065</v>
      </c>
      <c r="AP50" s="19">
        <v>180005</v>
      </c>
      <c r="AQ50" s="19">
        <v>999370</v>
      </c>
    </row>
    <row r="51" spans="1:43" x14ac:dyDescent="0.2">
      <c r="A51" s="3" t="s">
        <v>68</v>
      </c>
      <c r="B51" s="5"/>
      <c r="C51" s="3" t="s">
        <v>70</v>
      </c>
      <c r="D51" s="9"/>
      <c r="E51" s="9" t="s">
        <v>1564</v>
      </c>
      <c r="F51" s="4">
        <v>0</v>
      </c>
      <c r="G51" s="4">
        <v>150000</v>
      </c>
      <c r="H51" s="3"/>
      <c r="I51" s="19">
        <v>0</v>
      </c>
      <c r="J51" s="19">
        <v>30000</v>
      </c>
      <c r="K51" s="19">
        <v>0</v>
      </c>
      <c r="L51" s="19">
        <v>30000</v>
      </c>
      <c r="M51" s="19">
        <v>30000</v>
      </c>
      <c r="N51" s="19">
        <v>30000</v>
      </c>
      <c r="O51" s="19">
        <f t="shared" si="0"/>
        <v>120000</v>
      </c>
      <c r="P51" s="19">
        <v>20000</v>
      </c>
      <c r="Q51" s="19">
        <v>47000</v>
      </c>
      <c r="R51" s="19">
        <v>24000</v>
      </c>
      <c r="S51" s="19">
        <v>11000</v>
      </c>
      <c r="T51" s="19">
        <v>63000</v>
      </c>
      <c r="U51" s="19">
        <v>15020</v>
      </c>
      <c r="V51" s="19">
        <v>10000</v>
      </c>
      <c r="W51" s="19">
        <v>10000</v>
      </c>
      <c r="X51" s="19">
        <v>40000</v>
      </c>
      <c r="Y51" s="19">
        <v>10040</v>
      </c>
      <c r="Z51" s="19">
        <v>73005</v>
      </c>
      <c r="AA51" s="19">
        <v>537000</v>
      </c>
      <c r="AB51" s="19">
        <v>0</v>
      </c>
      <c r="AC51" s="19">
        <v>860065</v>
      </c>
      <c r="AD51" s="19">
        <v>20000</v>
      </c>
      <c r="AE51" s="19">
        <v>47000</v>
      </c>
      <c r="AF51" s="19">
        <v>24000</v>
      </c>
      <c r="AG51" s="19">
        <v>11000</v>
      </c>
      <c r="AH51" s="19">
        <v>0</v>
      </c>
      <c r="AI51" s="19">
        <v>52020</v>
      </c>
      <c r="AJ51" s="19">
        <v>36000</v>
      </c>
      <c r="AK51" s="19">
        <v>10000</v>
      </c>
      <c r="AL51" s="19">
        <v>40000</v>
      </c>
      <c r="AM51" s="19">
        <v>10040</v>
      </c>
      <c r="AN51" s="19">
        <v>10005</v>
      </c>
      <c r="AO51" s="19">
        <v>63000</v>
      </c>
      <c r="AP51" s="19">
        <v>974000</v>
      </c>
      <c r="AQ51" s="19">
        <v>1297065</v>
      </c>
    </row>
    <row r="52" spans="1:43" x14ac:dyDescent="0.2">
      <c r="A52" s="3" t="s">
        <v>102</v>
      </c>
      <c r="B52" s="5"/>
      <c r="C52" s="3" t="s">
        <v>1552</v>
      </c>
      <c r="D52" s="9"/>
      <c r="E52" s="9" t="s">
        <v>1553</v>
      </c>
      <c r="F52" s="4">
        <v>0</v>
      </c>
      <c r="G52" s="4">
        <v>50000</v>
      </c>
      <c r="H52" s="3"/>
      <c r="I52" s="19">
        <v>20000</v>
      </c>
      <c r="J52" s="19">
        <v>20000</v>
      </c>
      <c r="K52" s="19">
        <v>35000</v>
      </c>
      <c r="L52" s="19">
        <v>35000</v>
      </c>
      <c r="M52" s="19">
        <v>35000</v>
      </c>
      <c r="N52" s="19">
        <v>35000</v>
      </c>
      <c r="O52" s="19">
        <f t="shared" si="0"/>
        <v>180000</v>
      </c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</row>
    <row r="53" spans="1:43" x14ac:dyDescent="0.2">
      <c r="A53" s="3" t="s">
        <v>99</v>
      </c>
      <c r="B53" s="5"/>
      <c r="C53" s="3" t="s">
        <v>98</v>
      </c>
      <c r="D53" s="9"/>
      <c r="E53" s="9" t="s">
        <v>1512</v>
      </c>
      <c r="F53" s="4">
        <v>50</v>
      </c>
      <c r="G53" s="4">
        <v>100000</v>
      </c>
      <c r="H53" s="3"/>
      <c r="I53" s="19">
        <v>5000</v>
      </c>
      <c r="J53" s="19">
        <v>10000</v>
      </c>
      <c r="K53" s="19">
        <v>10000</v>
      </c>
      <c r="L53" s="19">
        <v>10000</v>
      </c>
      <c r="M53" s="19">
        <v>40000</v>
      </c>
      <c r="N53" s="19">
        <v>40000</v>
      </c>
      <c r="O53" s="19">
        <f t="shared" si="0"/>
        <v>115000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30000</v>
      </c>
      <c r="X53" s="19">
        <v>99000</v>
      </c>
      <c r="Y53" s="19">
        <v>60000</v>
      </c>
      <c r="Z53" s="19">
        <v>6000</v>
      </c>
      <c r="AA53" s="19">
        <v>45000</v>
      </c>
      <c r="AB53" s="19">
        <v>0</v>
      </c>
      <c r="AC53" s="19">
        <v>240000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63000</v>
      </c>
      <c r="AK53" s="19">
        <v>63000</v>
      </c>
      <c r="AL53" s="19">
        <v>54000</v>
      </c>
      <c r="AM53" s="19">
        <v>60000</v>
      </c>
      <c r="AN53" s="19">
        <v>21000</v>
      </c>
      <c r="AO53" s="19">
        <v>30000</v>
      </c>
      <c r="AP53" s="19">
        <v>15000</v>
      </c>
      <c r="AQ53" s="19">
        <v>306000</v>
      </c>
    </row>
    <row r="54" spans="1:43" x14ac:dyDescent="0.2">
      <c r="A54" s="3" t="s">
        <v>99</v>
      </c>
      <c r="B54" s="5"/>
      <c r="C54" s="3" t="s">
        <v>100</v>
      </c>
      <c r="D54" s="9"/>
      <c r="E54" s="9" t="s">
        <v>1513</v>
      </c>
      <c r="F54" s="4">
        <v>0</v>
      </c>
      <c r="G54" s="4">
        <v>100000</v>
      </c>
      <c r="H54" s="3"/>
      <c r="I54" s="19">
        <v>106000</v>
      </c>
      <c r="J54" s="19">
        <v>76000</v>
      </c>
      <c r="K54" s="19">
        <v>89000</v>
      </c>
      <c r="L54" s="19">
        <v>89000</v>
      </c>
      <c r="M54" s="19">
        <v>109000</v>
      </c>
      <c r="N54" s="19">
        <v>109000</v>
      </c>
      <c r="O54" s="19">
        <f t="shared" si="0"/>
        <v>578000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63000</v>
      </c>
      <c r="AA54" s="19">
        <v>21000</v>
      </c>
      <c r="AB54" s="19">
        <v>87000</v>
      </c>
      <c r="AC54" s="19">
        <v>171000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63000</v>
      </c>
      <c r="AO54" s="19">
        <v>51000</v>
      </c>
      <c r="AP54" s="19">
        <v>57000</v>
      </c>
      <c r="AQ54" s="19">
        <v>171000</v>
      </c>
    </row>
    <row r="55" spans="1:43" x14ac:dyDescent="0.2">
      <c r="A55" s="3" t="s">
        <v>99</v>
      </c>
      <c r="B55" s="5"/>
      <c r="C55" s="3" t="s">
        <v>105</v>
      </c>
      <c r="D55" s="9"/>
      <c r="E55" s="9" t="s">
        <v>1514</v>
      </c>
      <c r="F55" s="4">
        <v>0</v>
      </c>
      <c r="G55" s="4">
        <v>100000</v>
      </c>
      <c r="H55" s="3"/>
      <c r="I55" s="19">
        <v>120000</v>
      </c>
      <c r="J55" s="19">
        <v>125000</v>
      </c>
      <c r="K55" s="19">
        <v>130000</v>
      </c>
      <c r="L55" s="19">
        <v>135000</v>
      </c>
      <c r="M55" s="19">
        <v>165000</v>
      </c>
      <c r="N55" s="19">
        <v>165000</v>
      </c>
      <c r="O55" s="19">
        <f t="shared" si="0"/>
        <v>840000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39000</v>
      </c>
      <c r="AA55" s="19">
        <v>120000</v>
      </c>
      <c r="AB55" s="19">
        <v>120000</v>
      </c>
      <c r="AC55" s="19">
        <v>279000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159000</v>
      </c>
      <c r="AP55" s="19">
        <v>0</v>
      </c>
      <c r="AQ55" s="19">
        <v>159000</v>
      </c>
    </row>
    <row r="56" spans="1:43" x14ac:dyDescent="0.2">
      <c r="A56" s="3" t="s">
        <v>161</v>
      </c>
      <c r="B56" s="5"/>
      <c r="C56" s="3" t="s">
        <v>162</v>
      </c>
      <c r="D56" s="9"/>
      <c r="E56" s="9" t="s">
        <v>1542</v>
      </c>
      <c r="F56" s="4">
        <v>0</v>
      </c>
      <c r="G56" s="4"/>
      <c r="H56" s="3"/>
      <c r="I56" s="19">
        <v>50000</v>
      </c>
      <c r="J56" s="19">
        <v>50000</v>
      </c>
      <c r="K56" s="19">
        <v>115000</v>
      </c>
      <c r="L56" s="19">
        <v>125000</v>
      </c>
      <c r="M56" s="19">
        <v>185000</v>
      </c>
      <c r="N56" s="19">
        <v>185000</v>
      </c>
      <c r="O56" s="19">
        <f t="shared" si="0"/>
        <v>710000</v>
      </c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</row>
    <row r="57" spans="1:43" x14ac:dyDescent="0.2">
      <c r="A57" s="3" t="s">
        <v>175</v>
      </c>
      <c r="B57" s="5"/>
      <c r="C57" s="3" t="s">
        <v>174</v>
      </c>
      <c r="D57" s="9"/>
      <c r="E57" s="9" t="s">
        <v>1503</v>
      </c>
      <c r="F57" s="4">
        <v>24</v>
      </c>
      <c r="G57" s="4">
        <v>50000</v>
      </c>
      <c r="H57" s="3"/>
      <c r="I57" s="19">
        <v>0</v>
      </c>
      <c r="J57" s="19">
        <v>0</v>
      </c>
      <c r="K57" s="19">
        <v>20000</v>
      </c>
      <c r="L57" s="19">
        <v>20000</v>
      </c>
      <c r="M57" s="19">
        <v>100000</v>
      </c>
      <c r="N57" s="19">
        <v>100000</v>
      </c>
      <c r="O57" s="19">
        <f t="shared" si="0"/>
        <v>240000</v>
      </c>
      <c r="P57" s="19">
        <v>10000</v>
      </c>
      <c r="Q57" s="19">
        <v>0</v>
      </c>
      <c r="R57" s="19">
        <v>233000</v>
      </c>
      <c r="S57" s="19">
        <v>244000</v>
      </c>
      <c r="T57" s="19">
        <v>0</v>
      </c>
      <c r="U57" s="19">
        <v>40000</v>
      </c>
      <c r="V57" s="19">
        <v>4000</v>
      </c>
      <c r="W57" s="19">
        <v>80000</v>
      </c>
      <c r="X57" s="19">
        <v>38005</v>
      </c>
      <c r="Y57" s="19">
        <v>83000</v>
      </c>
      <c r="Z57" s="19">
        <v>128300</v>
      </c>
      <c r="AA57" s="19">
        <v>0</v>
      </c>
      <c r="AB57" s="19">
        <v>80000</v>
      </c>
      <c r="AC57" s="19">
        <v>940305</v>
      </c>
      <c r="AD57" s="19">
        <v>19000</v>
      </c>
      <c r="AE57" s="19">
        <v>128000</v>
      </c>
      <c r="AF57" s="19">
        <v>105000</v>
      </c>
      <c r="AG57" s="19">
        <v>239000</v>
      </c>
      <c r="AH57" s="19">
        <v>0</v>
      </c>
      <c r="AI57" s="19">
        <v>42000</v>
      </c>
      <c r="AJ57" s="19">
        <v>4000</v>
      </c>
      <c r="AK57" s="19">
        <v>83000</v>
      </c>
      <c r="AL57" s="19">
        <v>38005</v>
      </c>
      <c r="AM57" s="19">
        <v>83000</v>
      </c>
      <c r="AN57" s="19">
        <v>83300</v>
      </c>
      <c r="AO57" s="19">
        <v>0</v>
      </c>
      <c r="AP57" s="19">
        <v>0</v>
      </c>
      <c r="AQ57" s="19">
        <v>824305</v>
      </c>
    </row>
    <row r="58" spans="1:43" x14ac:dyDescent="0.2">
      <c r="A58" s="3" t="s">
        <v>4</v>
      </c>
      <c r="B58" s="5"/>
      <c r="C58" s="3" t="s">
        <v>8</v>
      </c>
      <c r="D58" s="9"/>
      <c r="E58" s="9" t="s">
        <v>1529</v>
      </c>
      <c r="F58" s="4">
        <v>0</v>
      </c>
      <c r="G58" s="4">
        <v>20000</v>
      </c>
      <c r="H58" s="3"/>
      <c r="I58" s="19">
        <v>4750</v>
      </c>
      <c r="J58" s="19">
        <v>3750</v>
      </c>
      <c r="K58" s="19">
        <v>3750</v>
      </c>
      <c r="L58" s="19">
        <v>0</v>
      </c>
      <c r="M58" s="19">
        <v>0</v>
      </c>
      <c r="N58" s="19">
        <v>0</v>
      </c>
      <c r="O58" s="19">
        <f t="shared" si="0"/>
        <v>12250</v>
      </c>
      <c r="P58" s="19">
        <v>0</v>
      </c>
      <c r="Q58" s="19">
        <v>0</v>
      </c>
      <c r="R58" s="19">
        <v>150000</v>
      </c>
      <c r="S58" s="19">
        <v>100000</v>
      </c>
      <c r="T58" s="19">
        <v>267991</v>
      </c>
      <c r="U58" s="19">
        <v>251000</v>
      </c>
      <c r="V58" s="19">
        <v>140000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908991</v>
      </c>
      <c r="AD58" s="19">
        <v>0</v>
      </c>
      <c r="AE58" s="19">
        <v>0</v>
      </c>
      <c r="AF58" s="19">
        <v>149758</v>
      </c>
      <c r="AG58" s="19">
        <v>200233</v>
      </c>
      <c r="AH58" s="19">
        <v>0</v>
      </c>
      <c r="AI58" s="19">
        <v>168000</v>
      </c>
      <c r="AJ58" s="19">
        <v>391000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908991</v>
      </c>
    </row>
    <row r="59" spans="1:43" x14ac:dyDescent="0.2">
      <c r="A59" s="3" t="s">
        <v>213</v>
      </c>
      <c r="B59" s="5"/>
      <c r="C59" s="3" t="s">
        <v>214</v>
      </c>
      <c r="D59" s="9"/>
      <c r="E59" s="9" t="s">
        <v>1565</v>
      </c>
      <c r="F59" s="4">
        <v>125</v>
      </c>
      <c r="G59" s="4">
        <v>120000</v>
      </c>
      <c r="H59" s="3"/>
      <c r="I59" s="19">
        <v>210000</v>
      </c>
      <c r="J59" s="19">
        <v>214000</v>
      </c>
      <c r="K59" s="19">
        <v>219000</v>
      </c>
      <c r="L59" s="19">
        <v>219000</v>
      </c>
      <c r="M59" s="19">
        <v>229000</v>
      </c>
      <c r="N59" s="19">
        <v>229000</v>
      </c>
      <c r="O59" s="19">
        <f t="shared" si="0"/>
        <v>1320000</v>
      </c>
      <c r="P59" s="19">
        <v>43661</v>
      </c>
      <c r="Q59" s="19">
        <v>160918</v>
      </c>
      <c r="R59" s="19">
        <v>152000</v>
      </c>
      <c r="S59" s="19">
        <v>92000</v>
      </c>
      <c r="T59" s="19">
        <v>136000</v>
      </c>
      <c r="U59" s="19">
        <v>28000</v>
      </c>
      <c r="V59" s="19">
        <v>20000</v>
      </c>
      <c r="W59" s="19">
        <v>16000</v>
      </c>
      <c r="X59" s="19">
        <v>176000</v>
      </c>
      <c r="Y59" s="19">
        <v>186950</v>
      </c>
      <c r="Z59" s="19">
        <v>112300</v>
      </c>
      <c r="AA59" s="19">
        <v>112000</v>
      </c>
      <c r="AB59" s="19">
        <v>98000</v>
      </c>
      <c r="AC59" s="19">
        <v>1333829</v>
      </c>
      <c r="AD59" s="19">
        <v>343661</v>
      </c>
      <c r="AE59" s="19">
        <v>23864</v>
      </c>
      <c r="AF59" s="19">
        <v>108000</v>
      </c>
      <c r="AG59" s="19">
        <v>244000</v>
      </c>
      <c r="AH59" s="19">
        <v>136000</v>
      </c>
      <c r="AI59" s="19">
        <v>32000</v>
      </c>
      <c r="AJ59" s="19">
        <v>8000</v>
      </c>
      <c r="AK59" s="19">
        <v>16000</v>
      </c>
      <c r="AL59" s="19">
        <v>174950</v>
      </c>
      <c r="AM59" s="19">
        <v>156000</v>
      </c>
      <c r="AN59" s="19">
        <v>72300</v>
      </c>
      <c r="AO59" s="19">
        <v>72000</v>
      </c>
      <c r="AP59" s="19">
        <v>82000</v>
      </c>
      <c r="AQ59" s="19">
        <v>1468775</v>
      </c>
    </row>
    <row r="60" spans="1:43" x14ac:dyDescent="0.2">
      <c r="A60" s="3" t="s">
        <v>213</v>
      </c>
      <c r="B60" s="5"/>
      <c r="C60" s="3" t="s">
        <v>216</v>
      </c>
      <c r="D60" s="9"/>
      <c r="E60" s="9" t="s">
        <v>1525</v>
      </c>
      <c r="F60" s="4">
        <v>0</v>
      </c>
      <c r="G60" s="4">
        <v>300000</v>
      </c>
      <c r="H60" s="3"/>
      <c r="I60" s="19">
        <v>356000</v>
      </c>
      <c r="J60" s="19">
        <v>366000</v>
      </c>
      <c r="K60" s="19">
        <v>358000</v>
      </c>
      <c r="L60" s="19">
        <v>368000</v>
      </c>
      <c r="M60" s="19">
        <v>358000</v>
      </c>
      <c r="N60" s="19">
        <v>368000</v>
      </c>
      <c r="O60" s="19">
        <f t="shared" si="0"/>
        <v>2174000</v>
      </c>
      <c r="P60" s="19">
        <v>100000</v>
      </c>
      <c r="Q60" s="19">
        <v>85150</v>
      </c>
      <c r="R60" s="19">
        <v>73000</v>
      </c>
      <c r="S60" s="19">
        <v>36006</v>
      </c>
      <c r="T60" s="19">
        <v>117000</v>
      </c>
      <c r="U60" s="19">
        <v>15120</v>
      </c>
      <c r="V60" s="19">
        <v>1052</v>
      </c>
      <c r="W60" s="19">
        <v>19864</v>
      </c>
      <c r="X60" s="19">
        <v>109170</v>
      </c>
      <c r="Y60" s="19">
        <v>117472</v>
      </c>
      <c r="Z60" s="19">
        <v>35050</v>
      </c>
      <c r="AA60" s="19">
        <v>155379</v>
      </c>
      <c r="AB60" s="19">
        <v>229070</v>
      </c>
      <c r="AC60" s="19">
        <v>1093333</v>
      </c>
      <c r="AD60" s="19">
        <v>85000</v>
      </c>
      <c r="AE60" s="19">
        <v>60000</v>
      </c>
      <c r="AF60" s="19">
        <v>98150</v>
      </c>
      <c r="AG60" s="19">
        <v>37006</v>
      </c>
      <c r="AH60" s="19">
        <v>65000</v>
      </c>
      <c r="AI60" s="19">
        <v>67120</v>
      </c>
      <c r="AJ60" s="19">
        <v>1052</v>
      </c>
      <c r="AK60" s="19">
        <v>69864</v>
      </c>
      <c r="AL60" s="19">
        <v>89170</v>
      </c>
      <c r="AM60" s="19">
        <v>90026</v>
      </c>
      <c r="AN60" s="19">
        <v>7050</v>
      </c>
      <c r="AO60" s="19">
        <v>3895</v>
      </c>
      <c r="AP60" s="19">
        <v>192000</v>
      </c>
      <c r="AQ60" s="19">
        <v>865333</v>
      </c>
    </row>
    <row r="61" spans="1:43" x14ac:dyDescent="0.2">
      <c r="A61" s="3"/>
      <c r="B61" s="5"/>
      <c r="C61" s="3"/>
      <c r="D61" s="9"/>
      <c r="E61" s="9" t="s">
        <v>1545</v>
      </c>
      <c r="F61" s="4"/>
      <c r="G61" s="4">
        <v>100000</v>
      </c>
      <c r="H61" s="3"/>
      <c r="I61" s="19"/>
      <c r="J61" s="19"/>
      <c r="K61" s="19"/>
      <c r="L61" s="19"/>
      <c r="M61" s="19"/>
      <c r="N61" s="19"/>
      <c r="O61" s="19">
        <f t="shared" si="0"/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1000</v>
      </c>
      <c r="AA61" s="19">
        <v>0</v>
      </c>
      <c r="AB61" s="19">
        <v>3000</v>
      </c>
      <c r="AC61" s="19">
        <v>4000</v>
      </c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</row>
    <row r="62" spans="1:43" x14ac:dyDescent="0.2">
      <c r="A62" s="3" t="s">
        <v>231</v>
      </c>
      <c r="B62" s="5"/>
      <c r="C62" s="3" t="s">
        <v>232</v>
      </c>
      <c r="D62" s="9"/>
      <c r="E62" s="9" t="s">
        <v>1537</v>
      </c>
      <c r="F62" s="4">
        <v>100</v>
      </c>
      <c r="G62" s="4">
        <v>50000</v>
      </c>
      <c r="H62" s="3"/>
      <c r="I62" s="19">
        <v>33000</v>
      </c>
      <c r="J62" s="19">
        <v>37000</v>
      </c>
      <c r="K62" s="19">
        <v>48000</v>
      </c>
      <c r="L62" s="19">
        <v>58000</v>
      </c>
      <c r="M62" s="19">
        <v>63000</v>
      </c>
      <c r="N62" s="19">
        <v>63000</v>
      </c>
      <c r="O62" s="19">
        <f t="shared" si="0"/>
        <v>302000</v>
      </c>
      <c r="P62" s="19">
        <v>0</v>
      </c>
      <c r="Q62" s="19">
        <v>0</v>
      </c>
      <c r="R62" s="19">
        <v>0</v>
      </c>
      <c r="S62" s="19">
        <v>7000</v>
      </c>
      <c r="T62" s="19">
        <v>7000</v>
      </c>
      <c r="U62" s="19">
        <v>1600</v>
      </c>
      <c r="V62" s="19">
        <v>5100</v>
      </c>
      <c r="W62" s="19">
        <v>350</v>
      </c>
      <c r="X62" s="19">
        <v>17155</v>
      </c>
      <c r="Y62" s="19">
        <v>16800</v>
      </c>
      <c r="Z62" s="19">
        <v>30187</v>
      </c>
      <c r="AA62" s="19">
        <v>16000</v>
      </c>
      <c r="AB62" s="19">
        <v>24300</v>
      </c>
      <c r="AC62" s="19">
        <v>125492</v>
      </c>
      <c r="AD62" s="19">
        <v>0</v>
      </c>
      <c r="AE62" s="19">
        <v>0</v>
      </c>
      <c r="AF62" s="19">
        <v>0</v>
      </c>
      <c r="AG62" s="19">
        <v>16000</v>
      </c>
      <c r="AH62" s="19">
        <v>4000</v>
      </c>
      <c r="AI62" s="19">
        <v>1600</v>
      </c>
      <c r="AJ62" s="19">
        <v>8100</v>
      </c>
      <c r="AK62" s="19">
        <v>250</v>
      </c>
      <c r="AL62" s="19">
        <v>17255</v>
      </c>
      <c r="AM62" s="19">
        <v>4787</v>
      </c>
      <c r="AN62" s="19">
        <v>41000</v>
      </c>
      <c r="AO62" s="19">
        <v>17200</v>
      </c>
      <c r="AP62" s="19">
        <v>24300</v>
      </c>
      <c r="AQ62" s="19">
        <v>134492</v>
      </c>
    </row>
    <row r="63" spans="1:43" x14ac:dyDescent="0.2">
      <c r="A63" s="3" t="s">
        <v>249</v>
      </c>
      <c r="B63" s="5"/>
      <c r="C63" s="3" t="s">
        <v>248</v>
      </c>
      <c r="D63" s="9"/>
      <c r="E63" s="9" t="s">
        <v>1507</v>
      </c>
      <c r="F63" s="4">
        <v>50</v>
      </c>
      <c r="G63" s="4">
        <v>100000</v>
      </c>
      <c r="H63" s="3"/>
      <c r="I63" s="19">
        <v>110000</v>
      </c>
      <c r="J63" s="19">
        <v>100000</v>
      </c>
      <c r="K63" s="19">
        <v>100000</v>
      </c>
      <c r="L63" s="19">
        <v>100000</v>
      </c>
      <c r="M63" s="19">
        <v>100000</v>
      </c>
      <c r="N63" s="19">
        <v>100000</v>
      </c>
      <c r="O63" s="19">
        <f t="shared" si="0"/>
        <v>610000</v>
      </c>
      <c r="P63" s="19">
        <v>10200</v>
      </c>
      <c r="Q63" s="19">
        <v>74000</v>
      </c>
      <c r="R63" s="19">
        <v>60000</v>
      </c>
      <c r="S63" s="19">
        <v>60000</v>
      </c>
      <c r="T63" s="19">
        <v>60600</v>
      </c>
      <c r="U63" s="19">
        <v>67000</v>
      </c>
      <c r="V63" s="19">
        <v>64700</v>
      </c>
      <c r="W63" s="19">
        <v>13000</v>
      </c>
      <c r="X63" s="19">
        <v>69500</v>
      </c>
      <c r="Y63" s="19">
        <v>78536</v>
      </c>
      <c r="Z63" s="19">
        <v>60000</v>
      </c>
      <c r="AA63" s="19">
        <v>100131</v>
      </c>
      <c r="AB63" s="19">
        <v>90012</v>
      </c>
      <c r="AC63" s="19">
        <v>807679</v>
      </c>
      <c r="AD63" s="19">
        <v>28979</v>
      </c>
      <c r="AE63" s="19">
        <v>39000</v>
      </c>
      <c r="AF63" s="19">
        <v>145000</v>
      </c>
      <c r="AG63" s="19">
        <v>0</v>
      </c>
      <c r="AH63" s="19">
        <v>20600</v>
      </c>
      <c r="AI63" s="19">
        <v>46500</v>
      </c>
      <c r="AJ63" s="19">
        <v>70200</v>
      </c>
      <c r="AK63" s="19">
        <v>68000</v>
      </c>
      <c r="AL63" s="19">
        <v>79500</v>
      </c>
      <c r="AM63" s="19">
        <v>88536</v>
      </c>
      <c r="AN63" s="19">
        <v>81041</v>
      </c>
      <c r="AO63" s="19">
        <v>19131</v>
      </c>
      <c r="AP63" s="19">
        <v>55585</v>
      </c>
      <c r="AQ63" s="19">
        <v>742072</v>
      </c>
    </row>
    <row r="64" spans="1:43" x14ac:dyDescent="0.2">
      <c r="A64" s="3" t="s">
        <v>99</v>
      </c>
      <c r="B64" s="5"/>
      <c r="C64" s="3" t="s">
        <v>110</v>
      </c>
      <c r="D64" s="9"/>
      <c r="E64" s="9" t="s">
        <v>1515</v>
      </c>
      <c r="F64" s="4">
        <v>0</v>
      </c>
      <c r="G64" s="4">
        <v>50000</v>
      </c>
      <c r="H64" s="3"/>
      <c r="I64" s="19">
        <v>30000</v>
      </c>
      <c r="J64" s="19">
        <v>42000</v>
      </c>
      <c r="K64" s="19">
        <v>36000</v>
      </c>
      <c r="L64" s="19">
        <v>45000</v>
      </c>
      <c r="M64" s="19">
        <v>30000</v>
      </c>
      <c r="N64" s="19">
        <v>30000</v>
      </c>
      <c r="O64" s="19">
        <f t="shared" si="0"/>
        <v>213000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36000</v>
      </c>
      <c r="X64" s="19">
        <v>51000</v>
      </c>
      <c r="Y64" s="19">
        <v>27000</v>
      </c>
      <c r="Z64" s="19">
        <v>63000</v>
      </c>
      <c r="AA64" s="19">
        <v>21000</v>
      </c>
      <c r="AB64" s="19">
        <v>30000</v>
      </c>
      <c r="AC64" s="19">
        <v>228000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66000</v>
      </c>
      <c r="AK64" s="19">
        <v>36000</v>
      </c>
      <c r="AL64" s="19">
        <v>45000</v>
      </c>
      <c r="AM64" s="19">
        <v>66000</v>
      </c>
      <c r="AN64" s="19">
        <v>57009</v>
      </c>
      <c r="AO64" s="19">
        <v>51000</v>
      </c>
      <c r="AP64" s="19">
        <v>0</v>
      </c>
      <c r="AQ64" s="19">
        <v>321009</v>
      </c>
    </row>
    <row r="65" spans="1:43" x14ac:dyDescent="0.2">
      <c r="A65" s="3" t="s">
        <v>99</v>
      </c>
      <c r="B65" s="5"/>
      <c r="C65" s="3" t="s">
        <v>113</v>
      </c>
      <c r="D65" s="9"/>
      <c r="E65" s="9" t="s">
        <v>1516</v>
      </c>
      <c r="F65" s="4">
        <v>0</v>
      </c>
      <c r="G65" s="4">
        <v>50000</v>
      </c>
      <c r="H65" s="3"/>
      <c r="I65" s="19">
        <v>14000</v>
      </c>
      <c r="J65" s="19">
        <v>5000</v>
      </c>
      <c r="K65" s="19">
        <v>14000</v>
      </c>
      <c r="L65" s="19">
        <v>20000</v>
      </c>
      <c r="M65" s="19">
        <v>14000</v>
      </c>
      <c r="N65" s="19">
        <v>14000</v>
      </c>
      <c r="O65" s="19">
        <f t="shared" si="0"/>
        <v>81000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33000</v>
      </c>
      <c r="Y65" s="19">
        <v>0</v>
      </c>
      <c r="Z65" s="19">
        <v>0</v>
      </c>
      <c r="AA65" s="19">
        <v>3000</v>
      </c>
      <c r="AB65" s="19">
        <v>39000</v>
      </c>
      <c r="AC65" s="19">
        <v>75000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18000</v>
      </c>
      <c r="AK65" s="19">
        <v>54000</v>
      </c>
      <c r="AL65" s="19">
        <v>0</v>
      </c>
      <c r="AM65" s="19">
        <v>0</v>
      </c>
      <c r="AN65" s="19">
        <v>0</v>
      </c>
      <c r="AO65" s="19">
        <v>3000</v>
      </c>
      <c r="AP65" s="19">
        <v>27000</v>
      </c>
      <c r="AQ65" s="19">
        <v>102000</v>
      </c>
    </row>
    <row r="66" spans="1:43" x14ac:dyDescent="0.2">
      <c r="A66" s="3" t="s">
        <v>171</v>
      </c>
      <c r="B66" s="5"/>
      <c r="C66" s="3" t="s">
        <v>170</v>
      </c>
      <c r="D66" s="9"/>
      <c r="E66" s="9" t="s">
        <v>1566</v>
      </c>
      <c r="F66" s="4">
        <v>24</v>
      </c>
      <c r="G66" s="4"/>
      <c r="H66" s="3"/>
      <c r="I66" s="19">
        <v>90000</v>
      </c>
      <c r="J66" s="19">
        <v>90000</v>
      </c>
      <c r="K66" s="19">
        <v>880000</v>
      </c>
      <c r="L66" s="19">
        <v>90000</v>
      </c>
      <c r="M66" s="19">
        <v>190000</v>
      </c>
      <c r="N66" s="19">
        <v>190000</v>
      </c>
      <c r="O66" s="19">
        <f t="shared" ref="O66:O86" si="1">SUM(I66:N66)</f>
        <v>1530000</v>
      </c>
      <c r="P66" s="19">
        <v>30000</v>
      </c>
      <c r="Q66" s="19">
        <v>6000</v>
      </c>
      <c r="R66" s="19">
        <v>50</v>
      </c>
      <c r="S66" s="19">
        <v>0</v>
      </c>
      <c r="T66" s="19">
        <v>3000</v>
      </c>
      <c r="U66" s="19">
        <v>2</v>
      </c>
      <c r="V66" s="19">
        <v>0</v>
      </c>
      <c r="W66" s="19">
        <v>705001</v>
      </c>
      <c r="X66" s="19">
        <v>520</v>
      </c>
      <c r="Y66" s="19">
        <v>18000</v>
      </c>
      <c r="Z66" s="19">
        <v>690005</v>
      </c>
      <c r="AA66" s="19">
        <v>18035</v>
      </c>
      <c r="AB66" s="19">
        <v>680000</v>
      </c>
      <c r="AC66" s="19">
        <v>2150613</v>
      </c>
      <c r="AD66" s="19">
        <v>54000</v>
      </c>
      <c r="AE66" s="19">
        <v>6000</v>
      </c>
      <c r="AF66" s="19">
        <v>0</v>
      </c>
      <c r="AG66" s="19">
        <v>50</v>
      </c>
      <c r="AH66" s="19">
        <v>6000</v>
      </c>
      <c r="AI66" s="19">
        <v>2</v>
      </c>
      <c r="AJ66" s="19">
        <v>0</v>
      </c>
      <c r="AK66" s="19">
        <v>240001</v>
      </c>
      <c r="AL66" s="19">
        <v>12520</v>
      </c>
      <c r="AM66" s="19">
        <v>624000</v>
      </c>
      <c r="AN66" s="19">
        <v>5</v>
      </c>
      <c r="AO66" s="19">
        <v>288035</v>
      </c>
      <c r="AP66" s="19">
        <v>39000</v>
      </c>
      <c r="AQ66" s="19">
        <v>1269613</v>
      </c>
    </row>
    <row r="67" spans="1:43" x14ac:dyDescent="0.2">
      <c r="A67" s="3" t="s">
        <v>4</v>
      </c>
      <c r="B67" s="5"/>
      <c r="C67" s="3" t="s">
        <v>6</v>
      </c>
      <c r="D67" s="9"/>
      <c r="E67" s="9" t="s">
        <v>1528</v>
      </c>
      <c r="F67" s="4">
        <v>0</v>
      </c>
      <c r="G67" s="4">
        <v>50000</v>
      </c>
      <c r="H67" s="3"/>
      <c r="I67" s="19">
        <v>21150</v>
      </c>
      <c r="J67" s="19">
        <v>23500</v>
      </c>
      <c r="K67" s="19">
        <v>23500</v>
      </c>
      <c r="L67" s="19">
        <v>30000</v>
      </c>
      <c r="M67" s="19">
        <v>30000</v>
      </c>
      <c r="N67" s="19">
        <v>30000</v>
      </c>
      <c r="O67" s="19">
        <f t="shared" si="1"/>
        <v>158150</v>
      </c>
      <c r="P67" s="19">
        <v>0</v>
      </c>
      <c r="Q67" s="19">
        <v>0</v>
      </c>
      <c r="R67" s="19">
        <v>8000</v>
      </c>
      <c r="S67" s="19">
        <v>5000</v>
      </c>
      <c r="T67" s="19">
        <v>110160</v>
      </c>
      <c r="U67" s="19">
        <v>0</v>
      </c>
      <c r="V67" s="19">
        <v>0</v>
      </c>
      <c r="W67" s="19">
        <v>0</v>
      </c>
      <c r="X67" s="19">
        <v>37820</v>
      </c>
      <c r="Y67" s="19">
        <v>0</v>
      </c>
      <c r="Z67" s="19">
        <v>14180</v>
      </c>
      <c r="AA67" s="19">
        <v>96000</v>
      </c>
      <c r="AB67" s="19">
        <v>0</v>
      </c>
      <c r="AC67" s="19">
        <v>271160</v>
      </c>
      <c r="AD67" s="19">
        <v>0</v>
      </c>
      <c r="AE67" s="19">
        <v>0</v>
      </c>
      <c r="AF67" s="19">
        <v>0</v>
      </c>
      <c r="AG67" s="19">
        <v>19160</v>
      </c>
      <c r="AH67" s="19">
        <v>80000</v>
      </c>
      <c r="AI67" s="19">
        <v>0</v>
      </c>
      <c r="AJ67" s="19">
        <v>24000</v>
      </c>
      <c r="AK67" s="19">
        <v>0</v>
      </c>
      <c r="AL67" s="19">
        <v>37820</v>
      </c>
      <c r="AM67" s="19">
        <v>0</v>
      </c>
      <c r="AN67" s="19">
        <v>14180</v>
      </c>
      <c r="AO67" s="19">
        <v>32000</v>
      </c>
      <c r="AP67" s="19">
        <v>29000</v>
      </c>
      <c r="AQ67" s="19">
        <v>236160</v>
      </c>
    </row>
    <row r="68" spans="1:43" x14ac:dyDescent="0.2">
      <c r="A68" s="3" t="s">
        <v>273</v>
      </c>
      <c r="B68" s="5"/>
      <c r="C68" s="3" t="s">
        <v>272</v>
      </c>
      <c r="D68" s="9"/>
      <c r="E68" s="9" t="s">
        <v>1622</v>
      </c>
      <c r="F68" s="4">
        <v>25</v>
      </c>
      <c r="G68" s="4">
        <v>50000</v>
      </c>
      <c r="H68" s="3"/>
      <c r="I68" s="19">
        <v>27000</v>
      </c>
      <c r="J68" s="19">
        <v>27000</v>
      </c>
      <c r="K68" s="19">
        <v>27000</v>
      </c>
      <c r="L68" s="19">
        <v>27000</v>
      </c>
      <c r="M68" s="19">
        <v>27000</v>
      </c>
      <c r="N68" s="19">
        <v>27000</v>
      </c>
      <c r="O68" s="19">
        <f t="shared" si="1"/>
        <v>162000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</row>
    <row r="69" spans="1:43" x14ac:dyDescent="0.2">
      <c r="A69" s="3" t="s">
        <v>231</v>
      </c>
      <c r="B69" s="5"/>
      <c r="C69" s="3" t="s">
        <v>234</v>
      </c>
      <c r="D69" s="9"/>
      <c r="E69" s="9" t="s">
        <v>1538</v>
      </c>
      <c r="F69" s="4">
        <v>0</v>
      </c>
      <c r="G69" s="4">
        <v>40000</v>
      </c>
      <c r="H69" s="3"/>
      <c r="I69" s="19">
        <v>51000</v>
      </c>
      <c r="J69" s="19">
        <v>56000</v>
      </c>
      <c r="K69" s="19">
        <v>71000</v>
      </c>
      <c r="L69" s="19">
        <v>91000</v>
      </c>
      <c r="M69" s="19">
        <v>91000</v>
      </c>
      <c r="N69" s="19">
        <v>91000</v>
      </c>
      <c r="O69" s="19">
        <f t="shared" si="1"/>
        <v>451000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252</v>
      </c>
      <c r="B70" s="5"/>
      <c r="C70" s="3" t="s">
        <v>251</v>
      </c>
      <c r="D70" s="9"/>
      <c r="E70" s="9" t="s">
        <v>1508</v>
      </c>
      <c r="F70" s="4">
        <v>25</v>
      </c>
      <c r="G70" s="4">
        <v>40000</v>
      </c>
      <c r="H70" s="3"/>
      <c r="I70" s="19">
        <v>0</v>
      </c>
      <c r="J70" s="19">
        <v>0</v>
      </c>
      <c r="K70" s="19">
        <v>20000</v>
      </c>
      <c r="L70" s="19">
        <v>20000</v>
      </c>
      <c r="M70" s="19">
        <v>20000</v>
      </c>
      <c r="N70" s="19">
        <v>20000</v>
      </c>
      <c r="O70" s="19">
        <f t="shared" si="1"/>
        <v>80000</v>
      </c>
      <c r="P70" s="19">
        <v>0</v>
      </c>
      <c r="Q70" s="19">
        <v>40000</v>
      </c>
      <c r="R70" s="19">
        <v>50000</v>
      </c>
      <c r="S70" s="19">
        <v>30000</v>
      </c>
      <c r="T70" s="19">
        <v>10000</v>
      </c>
      <c r="U70" s="19">
        <v>45018</v>
      </c>
      <c r="V70" s="19">
        <v>20000</v>
      </c>
      <c r="W70" s="19">
        <v>20000</v>
      </c>
      <c r="X70" s="19">
        <v>35011</v>
      </c>
      <c r="Y70" s="19">
        <v>31023</v>
      </c>
      <c r="Z70" s="19">
        <v>40000</v>
      </c>
      <c r="AA70" s="19">
        <v>20000</v>
      </c>
      <c r="AB70" s="19">
        <v>10000</v>
      </c>
      <c r="AC70" s="19">
        <v>351052</v>
      </c>
      <c r="AD70" s="19">
        <v>30000</v>
      </c>
      <c r="AE70" s="19">
        <v>35000</v>
      </c>
      <c r="AF70" s="19">
        <v>50000</v>
      </c>
      <c r="AG70" s="19">
        <v>15000</v>
      </c>
      <c r="AH70" s="19">
        <v>35000</v>
      </c>
      <c r="AI70" s="19">
        <v>40018</v>
      </c>
      <c r="AJ70" s="19">
        <v>20000</v>
      </c>
      <c r="AK70" s="19">
        <v>20000</v>
      </c>
      <c r="AL70" s="19">
        <v>35011</v>
      </c>
      <c r="AM70" s="19">
        <v>41023</v>
      </c>
      <c r="AN70" s="19">
        <v>30000</v>
      </c>
      <c r="AO70" s="19">
        <v>20000</v>
      </c>
      <c r="AP70" s="19">
        <v>9500</v>
      </c>
      <c r="AQ70" s="19">
        <v>380552</v>
      </c>
    </row>
    <row r="71" spans="1:43" x14ac:dyDescent="0.2">
      <c r="A71" s="3" t="s">
        <v>195</v>
      </c>
      <c r="B71" s="5"/>
      <c r="C71" s="3" t="s">
        <v>209</v>
      </c>
      <c r="D71" s="9"/>
      <c r="E71" s="9" t="s">
        <v>1547</v>
      </c>
      <c r="F71" s="4">
        <v>25</v>
      </c>
      <c r="G71" s="4">
        <v>30000</v>
      </c>
      <c r="H71" s="3"/>
      <c r="I71" s="19">
        <v>50000</v>
      </c>
      <c r="J71" s="19">
        <v>0</v>
      </c>
      <c r="K71" s="19">
        <v>50000</v>
      </c>
      <c r="L71" s="19">
        <v>50000</v>
      </c>
      <c r="M71" s="19">
        <v>0</v>
      </c>
      <c r="N71" s="19">
        <v>0</v>
      </c>
      <c r="O71" s="19">
        <f t="shared" si="1"/>
        <v>150000</v>
      </c>
      <c r="P71" s="19">
        <v>0</v>
      </c>
      <c r="Q71" s="19">
        <v>0</v>
      </c>
      <c r="R71" s="19">
        <v>30000</v>
      </c>
      <c r="S71" s="19">
        <v>32000</v>
      </c>
      <c r="T71" s="19">
        <v>40000</v>
      </c>
      <c r="U71" s="19">
        <v>0</v>
      </c>
      <c r="V71" s="19">
        <v>655</v>
      </c>
      <c r="W71" s="19">
        <v>51000</v>
      </c>
      <c r="X71" s="19">
        <v>1078</v>
      </c>
      <c r="Y71" s="19">
        <v>55500</v>
      </c>
      <c r="Z71" s="19">
        <v>80010</v>
      </c>
      <c r="AA71" s="19">
        <v>7149</v>
      </c>
      <c r="AB71" s="19">
        <v>110</v>
      </c>
      <c r="AC71" s="19">
        <v>297502</v>
      </c>
      <c r="AD71" s="19">
        <v>0</v>
      </c>
      <c r="AE71" s="19">
        <v>0</v>
      </c>
      <c r="AF71" s="19">
        <v>30000</v>
      </c>
      <c r="AG71" s="19">
        <v>32000</v>
      </c>
      <c r="AH71" s="19">
        <v>0</v>
      </c>
      <c r="AI71" s="19">
        <v>0</v>
      </c>
      <c r="AJ71" s="19">
        <v>30655</v>
      </c>
      <c r="AK71" s="19">
        <v>1000</v>
      </c>
      <c r="AL71" s="19">
        <v>61078</v>
      </c>
      <c r="AM71" s="19">
        <v>38000</v>
      </c>
      <c r="AN71" s="19">
        <v>58510</v>
      </c>
      <c r="AO71" s="19">
        <v>46149</v>
      </c>
      <c r="AP71" s="19">
        <v>110</v>
      </c>
      <c r="AQ71" s="19">
        <v>297502</v>
      </c>
    </row>
    <row r="72" spans="1:43" x14ac:dyDescent="0.2">
      <c r="A72" s="3" t="s">
        <v>283</v>
      </c>
      <c r="B72" s="5"/>
      <c r="C72" s="3" t="s">
        <v>282</v>
      </c>
      <c r="D72" s="9"/>
      <c r="E72" s="9" t="s">
        <v>551</v>
      </c>
      <c r="F72" s="4">
        <v>25</v>
      </c>
      <c r="G72" s="4">
        <v>20000</v>
      </c>
      <c r="H72" s="3"/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f t="shared" si="1"/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650</v>
      </c>
      <c r="Y72" s="19">
        <v>0</v>
      </c>
      <c r="Z72" s="19">
        <v>58</v>
      </c>
      <c r="AA72" s="19">
        <v>0</v>
      </c>
      <c r="AB72" s="19">
        <v>0</v>
      </c>
      <c r="AC72" s="19">
        <v>708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650</v>
      </c>
      <c r="AM72" s="19">
        <v>0</v>
      </c>
      <c r="AN72" s="19">
        <v>58</v>
      </c>
      <c r="AO72" s="19">
        <v>0</v>
      </c>
      <c r="AP72" s="19">
        <v>0</v>
      </c>
      <c r="AQ72" s="19">
        <v>708</v>
      </c>
    </row>
    <row r="73" spans="1:43" x14ac:dyDescent="0.2">
      <c r="A73" s="3" t="s">
        <v>283</v>
      </c>
      <c r="B73" s="5"/>
      <c r="C73" s="3" t="s">
        <v>284</v>
      </c>
      <c r="D73" s="9"/>
      <c r="E73" s="9" t="s">
        <v>473</v>
      </c>
      <c r="F73" s="4">
        <v>0</v>
      </c>
      <c r="G73" s="4">
        <v>40000</v>
      </c>
      <c r="H73" s="3"/>
      <c r="I73" s="19">
        <v>40000</v>
      </c>
      <c r="J73" s="19">
        <v>41000</v>
      </c>
      <c r="K73" s="19">
        <v>41000</v>
      </c>
      <c r="L73" s="19">
        <v>41000</v>
      </c>
      <c r="M73" s="19">
        <v>41000</v>
      </c>
      <c r="N73" s="19">
        <v>41000</v>
      </c>
      <c r="O73" s="19">
        <f t="shared" si="1"/>
        <v>245000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3000</v>
      </c>
      <c r="X73" s="19">
        <v>0</v>
      </c>
      <c r="Y73" s="19">
        <v>0</v>
      </c>
      <c r="Z73" s="19">
        <v>40000</v>
      </c>
      <c r="AA73" s="19">
        <v>40000</v>
      </c>
      <c r="AB73" s="19">
        <v>50500</v>
      </c>
      <c r="AC73" s="19">
        <v>133500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3000</v>
      </c>
      <c r="AN73" s="19">
        <v>0</v>
      </c>
      <c r="AO73" s="19">
        <v>75000</v>
      </c>
      <c r="AP73" s="19">
        <v>1500</v>
      </c>
      <c r="AQ73" s="19">
        <v>79500</v>
      </c>
    </row>
    <row r="74" spans="1:43" x14ac:dyDescent="0.2">
      <c r="A74" s="3" t="s">
        <v>227</v>
      </c>
      <c r="B74" s="5"/>
      <c r="C74" s="5" t="s">
        <v>1645</v>
      </c>
      <c r="D74" s="9"/>
      <c r="E74" s="3" t="s">
        <v>1646</v>
      </c>
      <c r="F74" s="4">
        <v>0</v>
      </c>
      <c r="G74" s="4">
        <v>20000</v>
      </c>
      <c r="H74" s="3"/>
      <c r="I74" s="19">
        <v>0</v>
      </c>
      <c r="J74" s="19">
        <v>0</v>
      </c>
      <c r="K74" s="19">
        <v>0</v>
      </c>
      <c r="L74" s="19">
        <v>0</v>
      </c>
      <c r="M74" s="19">
        <v>50000</v>
      </c>
      <c r="N74" s="19">
        <v>50000</v>
      </c>
      <c r="O74" s="19">
        <f t="shared" si="1"/>
        <v>100000</v>
      </c>
      <c r="P74" s="19">
        <v>1100</v>
      </c>
      <c r="Q74" s="19">
        <v>12179</v>
      </c>
      <c r="R74" s="19">
        <v>50</v>
      </c>
      <c r="S74" s="19">
        <v>490</v>
      </c>
      <c r="T74" s="19">
        <v>0</v>
      </c>
      <c r="U74" s="19">
        <v>490</v>
      </c>
      <c r="V74" s="19">
        <v>0</v>
      </c>
      <c r="W74" s="19">
        <v>70</v>
      </c>
      <c r="X74" s="19">
        <v>2480</v>
      </c>
      <c r="Y74" s="19">
        <v>2450</v>
      </c>
      <c r="Z74" s="19">
        <v>6980</v>
      </c>
      <c r="AA74" s="19">
        <v>0</v>
      </c>
      <c r="AB74" s="19">
        <v>2450</v>
      </c>
      <c r="AC74" s="19">
        <v>28739</v>
      </c>
      <c r="AD74" s="19">
        <v>490</v>
      </c>
      <c r="AE74" s="19">
        <v>0</v>
      </c>
      <c r="AF74" s="19">
        <v>9186</v>
      </c>
      <c r="AG74" s="19">
        <v>3043</v>
      </c>
      <c r="AH74" s="19">
        <v>490</v>
      </c>
      <c r="AI74" s="19">
        <v>490</v>
      </c>
      <c r="AJ74" s="19">
        <v>0</v>
      </c>
      <c r="AK74" s="19">
        <v>70</v>
      </c>
      <c r="AL74" s="19">
        <v>2480</v>
      </c>
      <c r="AM74" s="19">
        <v>2450</v>
      </c>
      <c r="AN74" s="19">
        <v>6000</v>
      </c>
      <c r="AO74" s="19">
        <v>980</v>
      </c>
      <c r="AP74" s="19">
        <v>2450</v>
      </c>
      <c r="AQ74" s="19">
        <v>28129</v>
      </c>
    </row>
    <row r="75" spans="1:43" x14ac:dyDescent="0.2">
      <c r="A75" s="3" t="s">
        <v>231</v>
      </c>
      <c r="B75" s="5"/>
      <c r="C75" s="3" t="s">
        <v>230</v>
      </c>
      <c r="D75" s="9"/>
      <c r="E75" s="9" t="s">
        <v>1536</v>
      </c>
      <c r="F75" s="4">
        <v>0</v>
      </c>
      <c r="G75" s="4">
        <v>10000</v>
      </c>
      <c r="H75" s="3"/>
      <c r="I75" s="19">
        <v>3000</v>
      </c>
      <c r="J75" s="19">
        <v>0</v>
      </c>
      <c r="K75" s="19">
        <v>23000</v>
      </c>
      <c r="L75" s="19">
        <v>20000</v>
      </c>
      <c r="M75" s="19">
        <v>23000</v>
      </c>
      <c r="N75" s="19">
        <v>23000</v>
      </c>
      <c r="O75" s="19">
        <f t="shared" si="1"/>
        <v>92000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4000</v>
      </c>
      <c r="X75" s="19">
        <v>0</v>
      </c>
      <c r="Y75" s="19">
        <v>0</v>
      </c>
      <c r="Z75" s="19">
        <v>0</v>
      </c>
      <c r="AA75" s="19">
        <v>0</v>
      </c>
      <c r="AB75" s="19">
        <v>120</v>
      </c>
      <c r="AC75" s="19">
        <v>4120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4000</v>
      </c>
      <c r="AP75" s="19">
        <v>120</v>
      </c>
      <c r="AQ75" s="19">
        <v>4120</v>
      </c>
    </row>
    <row r="76" spans="1:43" x14ac:dyDescent="0.2">
      <c r="A76" s="3" t="s">
        <v>283</v>
      </c>
      <c r="B76" s="5"/>
      <c r="C76" s="3" t="s">
        <v>1548</v>
      </c>
      <c r="D76" s="9"/>
      <c r="E76" s="9" t="s">
        <v>1550</v>
      </c>
      <c r="F76" s="4">
        <v>0</v>
      </c>
      <c r="G76" s="4">
        <v>5000</v>
      </c>
      <c r="H76" s="3"/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f t="shared" si="1"/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1000</v>
      </c>
      <c r="AA76" s="19">
        <v>0</v>
      </c>
      <c r="AB76" s="19">
        <v>0</v>
      </c>
      <c r="AC76" s="19">
        <v>1000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782</v>
      </c>
      <c r="AO76" s="19">
        <v>0</v>
      </c>
      <c r="AP76" s="19">
        <v>0</v>
      </c>
      <c r="AQ76" s="19">
        <v>782</v>
      </c>
    </row>
    <row r="77" spans="1:43" x14ac:dyDescent="0.2">
      <c r="A77" s="3" t="s">
        <v>283</v>
      </c>
      <c r="B77" s="5"/>
      <c r="C77" s="3" t="s">
        <v>1549</v>
      </c>
      <c r="D77" s="9"/>
      <c r="E77" s="9" t="s">
        <v>1551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789</v>
      </c>
      <c r="AO77" s="19">
        <v>0</v>
      </c>
      <c r="AP77" s="19">
        <v>0</v>
      </c>
      <c r="AQ77" s="19">
        <v>789</v>
      </c>
    </row>
    <row r="78" spans="1:43" x14ac:dyDescent="0.2">
      <c r="A78" s="3" t="s">
        <v>86</v>
      </c>
      <c r="B78" s="5"/>
      <c r="C78" s="3" t="s">
        <v>91</v>
      </c>
      <c r="D78" s="9"/>
      <c r="E78" s="9" t="s">
        <v>1567</v>
      </c>
      <c r="F78" s="4">
        <v>0</v>
      </c>
      <c r="G78" s="4">
        <v>760000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90000</v>
      </c>
      <c r="W78" s="19">
        <v>0</v>
      </c>
      <c r="X78" s="19">
        <v>300000</v>
      </c>
      <c r="Y78" s="19">
        <v>500000</v>
      </c>
      <c r="Z78" s="19">
        <v>30000</v>
      </c>
      <c r="AA78" s="19">
        <v>0</v>
      </c>
      <c r="AB78" s="19">
        <v>0</v>
      </c>
      <c r="AC78" s="19">
        <v>920000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300000</v>
      </c>
      <c r="AM78" s="19">
        <v>0</v>
      </c>
      <c r="AN78" s="19">
        <v>530000</v>
      </c>
      <c r="AO78" s="19">
        <v>0</v>
      </c>
      <c r="AP78" s="19">
        <v>0</v>
      </c>
      <c r="AQ78" s="19">
        <v>830000</v>
      </c>
    </row>
    <row r="79" spans="1:43" x14ac:dyDescent="0.2">
      <c r="A79" s="3" t="s">
        <v>117</v>
      </c>
      <c r="B79" s="5"/>
      <c r="C79" s="3" t="s">
        <v>125</v>
      </c>
      <c r="D79" s="9"/>
      <c r="E79" s="9" t="s">
        <v>1519</v>
      </c>
      <c r="F79" s="4">
        <v>0</v>
      </c>
      <c r="G79" s="4">
        <v>1000000</v>
      </c>
      <c r="H79" s="3"/>
      <c r="I79" s="19">
        <v>900000</v>
      </c>
      <c r="J79" s="19">
        <v>900000</v>
      </c>
      <c r="K79" s="19">
        <v>1000000</v>
      </c>
      <c r="L79" s="19">
        <v>1300000</v>
      </c>
      <c r="M79" s="19">
        <v>1500000</v>
      </c>
      <c r="N79" s="19">
        <v>1500000</v>
      </c>
      <c r="O79" s="19">
        <f t="shared" si="1"/>
        <v>7100000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153000</v>
      </c>
      <c r="X79" s="19">
        <v>150000</v>
      </c>
      <c r="Y79" s="19">
        <v>300000</v>
      </c>
      <c r="Z79" s="19">
        <v>240000</v>
      </c>
      <c r="AA79" s="19">
        <v>3210000</v>
      </c>
      <c r="AB79" s="19">
        <v>2099000</v>
      </c>
      <c r="AC79" s="19">
        <v>6152000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363000</v>
      </c>
      <c r="AN79" s="19">
        <v>1413000</v>
      </c>
      <c r="AO79" s="19">
        <v>2592000</v>
      </c>
      <c r="AP79" s="19">
        <v>156000</v>
      </c>
      <c r="AQ79" s="19">
        <v>4524000</v>
      </c>
    </row>
    <row r="80" spans="1:43" x14ac:dyDescent="0.2">
      <c r="A80" s="3" t="s">
        <v>122</v>
      </c>
      <c r="B80" s="5"/>
      <c r="C80" s="3" t="s">
        <v>153</v>
      </c>
      <c r="D80" s="9"/>
      <c r="E80" s="9" t="s">
        <v>1499</v>
      </c>
      <c r="F80" s="4">
        <v>0</v>
      </c>
      <c r="G80" s="4">
        <v>1000000</v>
      </c>
      <c r="H80" s="3"/>
      <c r="I80" s="19">
        <v>1450000</v>
      </c>
      <c r="J80" s="19">
        <v>1600000</v>
      </c>
      <c r="K80" s="19">
        <v>1510000</v>
      </c>
      <c r="L80" s="19">
        <v>1570000</v>
      </c>
      <c r="M80" s="19">
        <v>1730000</v>
      </c>
      <c r="N80" s="19">
        <v>1730000</v>
      </c>
      <c r="O80" s="19">
        <f t="shared" si="1"/>
        <v>9590000</v>
      </c>
      <c r="P80" s="19">
        <v>51000</v>
      </c>
      <c r="Q80" s="19">
        <v>51000</v>
      </c>
      <c r="R80" s="19">
        <v>60000</v>
      </c>
      <c r="S80" s="19">
        <v>381000</v>
      </c>
      <c r="T80" s="19">
        <v>60000</v>
      </c>
      <c r="U80" s="19">
        <v>0</v>
      </c>
      <c r="V80" s="19">
        <v>115</v>
      </c>
      <c r="W80" s="19">
        <v>25</v>
      </c>
      <c r="X80" s="19">
        <v>18000</v>
      </c>
      <c r="Y80" s="19">
        <v>120400</v>
      </c>
      <c r="Z80" s="19">
        <v>188025</v>
      </c>
      <c r="AA80" s="19">
        <v>146000</v>
      </c>
      <c r="AB80" s="19">
        <v>830050</v>
      </c>
      <c r="AC80" s="19">
        <v>1905615</v>
      </c>
      <c r="AD80" s="19">
        <v>51000</v>
      </c>
      <c r="AE80" s="19">
        <v>51000</v>
      </c>
      <c r="AF80" s="19">
        <v>261000</v>
      </c>
      <c r="AG80" s="19">
        <v>126000</v>
      </c>
      <c r="AH80" s="19">
        <v>0</v>
      </c>
      <c r="AI80" s="19">
        <v>114000</v>
      </c>
      <c r="AJ80" s="19">
        <v>115</v>
      </c>
      <c r="AK80" s="19">
        <v>25</v>
      </c>
      <c r="AL80" s="19">
        <v>18000</v>
      </c>
      <c r="AM80" s="19">
        <v>120400</v>
      </c>
      <c r="AN80" s="19">
        <v>188025</v>
      </c>
      <c r="AO80" s="19">
        <v>2000</v>
      </c>
      <c r="AP80" s="19">
        <v>630050</v>
      </c>
      <c r="AQ80" s="19">
        <v>1561615</v>
      </c>
    </row>
    <row r="81" spans="1:43" x14ac:dyDescent="0.2">
      <c r="A81" s="3" t="s">
        <v>156</v>
      </c>
      <c r="B81" s="5"/>
      <c r="C81" s="3" t="s">
        <v>155</v>
      </c>
      <c r="D81" s="9"/>
      <c r="E81" s="9" t="s">
        <v>1500</v>
      </c>
      <c r="F81" s="4">
        <v>0</v>
      </c>
      <c r="G81" s="4">
        <v>500000</v>
      </c>
      <c r="H81" s="3"/>
      <c r="I81" s="19">
        <v>82000</v>
      </c>
      <c r="J81" s="19">
        <v>94000</v>
      </c>
      <c r="K81" s="19">
        <v>120000</v>
      </c>
      <c r="L81" s="19">
        <v>190000</v>
      </c>
      <c r="M81" s="19">
        <v>214000</v>
      </c>
      <c r="N81" s="19">
        <v>214000</v>
      </c>
      <c r="O81" s="19">
        <f t="shared" si="1"/>
        <v>914000</v>
      </c>
      <c r="P81" s="19">
        <v>0</v>
      </c>
      <c r="Q81" s="19">
        <v>300</v>
      </c>
      <c r="R81" s="19">
        <v>3600</v>
      </c>
      <c r="S81" s="19">
        <v>0</v>
      </c>
      <c r="T81" s="19">
        <v>1000</v>
      </c>
      <c r="U81" s="19">
        <v>6000</v>
      </c>
      <c r="V81" s="19">
        <v>0</v>
      </c>
      <c r="W81" s="19">
        <v>9000</v>
      </c>
      <c r="X81" s="19">
        <v>9600</v>
      </c>
      <c r="Y81" s="19">
        <v>42000</v>
      </c>
      <c r="Z81" s="19">
        <v>63045</v>
      </c>
      <c r="AA81" s="19">
        <v>166160</v>
      </c>
      <c r="AB81" s="19">
        <v>18000</v>
      </c>
      <c r="AC81" s="19">
        <v>318705</v>
      </c>
      <c r="AD81" s="19">
        <v>0</v>
      </c>
      <c r="AE81" s="19">
        <v>300</v>
      </c>
      <c r="AF81" s="19">
        <v>3600</v>
      </c>
      <c r="AG81" s="19">
        <v>0</v>
      </c>
      <c r="AH81" s="19">
        <v>1000</v>
      </c>
      <c r="AI81" s="19">
        <v>6000</v>
      </c>
      <c r="AJ81" s="19">
        <v>0</v>
      </c>
      <c r="AK81" s="19">
        <v>9000</v>
      </c>
      <c r="AL81" s="19">
        <v>9600</v>
      </c>
      <c r="AM81" s="19">
        <v>0</v>
      </c>
      <c r="AN81" s="19">
        <v>105045</v>
      </c>
      <c r="AO81" s="19">
        <v>96160</v>
      </c>
      <c r="AP81" s="19">
        <v>6000</v>
      </c>
      <c r="AQ81" s="19">
        <v>236705</v>
      </c>
    </row>
    <row r="82" spans="1:43" x14ac:dyDescent="0.2">
      <c r="A82" s="3" t="s">
        <v>4</v>
      </c>
      <c r="B82" s="5"/>
      <c r="C82" s="3" t="s">
        <v>200</v>
      </c>
      <c r="D82" s="9"/>
      <c r="E82" s="9" t="s">
        <v>1530</v>
      </c>
      <c r="F82" s="4">
        <v>0</v>
      </c>
      <c r="G82" s="4">
        <v>100000</v>
      </c>
      <c r="H82" s="3"/>
      <c r="I82" s="19">
        <v>220000</v>
      </c>
      <c r="J82" s="19">
        <v>85000</v>
      </c>
      <c r="K82" s="19">
        <v>213000</v>
      </c>
      <c r="L82" s="19">
        <v>75000</v>
      </c>
      <c r="M82" s="19">
        <v>213000</v>
      </c>
      <c r="N82" s="19">
        <v>213000</v>
      </c>
      <c r="O82" s="19">
        <f t="shared" si="1"/>
        <v>1019000</v>
      </c>
      <c r="P82" s="19">
        <v>9500</v>
      </c>
      <c r="Q82" s="19">
        <v>0</v>
      </c>
      <c r="R82" s="19">
        <v>42000</v>
      </c>
      <c r="S82" s="19">
        <v>10000</v>
      </c>
      <c r="T82" s="19">
        <v>405000</v>
      </c>
      <c r="U82" s="19">
        <v>318000</v>
      </c>
      <c r="V82" s="19">
        <v>263000</v>
      </c>
      <c r="W82" s="19">
        <v>27000</v>
      </c>
      <c r="X82" s="19">
        <v>55000</v>
      </c>
      <c r="Y82" s="19">
        <v>29000</v>
      </c>
      <c r="Z82" s="19">
        <v>73500</v>
      </c>
      <c r="AA82" s="19">
        <v>43500</v>
      </c>
      <c r="AB82" s="19">
        <v>43000</v>
      </c>
      <c r="AC82" s="19">
        <v>1318500</v>
      </c>
      <c r="AD82" s="19">
        <v>73014</v>
      </c>
      <c r="AE82" s="19">
        <v>16000</v>
      </c>
      <c r="AF82" s="19">
        <v>89549</v>
      </c>
      <c r="AG82" s="19">
        <v>110000</v>
      </c>
      <c r="AH82" s="19">
        <v>205000</v>
      </c>
      <c r="AI82" s="19">
        <v>248000</v>
      </c>
      <c r="AJ82" s="19">
        <v>40000</v>
      </c>
      <c r="AK82" s="19">
        <v>50000</v>
      </c>
      <c r="AL82" s="19">
        <v>230000</v>
      </c>
      <c r="AM82" s="19">
        <v>54000</v>
      </c>
      <c r="AN82" s="19">
        <v>53500</v>
      </c>
      <c r="AO82" s="19">
        <v>303500</v>
      </c>
      <c r="AP82" s="19">
        <v>83000</v>
      </c>
      <c r="AQ82" s="19">
        <v>1555563</v>
      </c>
    </row>
    <row r="83" spans="1:43" x14ac:dyDescent="0.2">
      <c r="A83" s="3" t="s">
        <v>224</v>
      </c>
      <c r="B83" s="5"/>
      <c r="C83" s="3" t="s">
        <v>520</v>
      </c>
      <c r="D83" s="9"/>
      <c r="E83" s="9" t="s">
        <v>1568</v>
      </c>
      <c r="F83" s="4">
        <v>0</v>
      </c>
      <c r="G83" s="4">
        <v>200000</v>
      </c>
      <c r="H83" s="3"/>
      <c r="I83" s="19">
        <v>160000</v>
      </c>
      <c r="J83" s="19">
        <v>160000</v>
      </c>
      <c r="K83" s="19">
        <v>160000</v>
      </c>
      <c r="L83" s="19">
        <v>160000</v>
      </c>
      <c r="M83" s="19">
        <v>160000</v>
      </c>
      <c r="N83" s="19">
        <v>160000</v>
      </c>
      <c r="O83" s="19">
        <f t="shared" si="1"/>
        <v>960000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</row>
    <row r="84" spans="1:43" x14ac:dyDescent="0.2">
      <c r="A84" s="3" t="s">
        <v>273</v>
      </c>
      <c r="B84" s="3"/>
      <c r="C84" s="3" t="s">
        <v>275</v>
      </c>
      <c r="D84" s="9"/>
      <c r="E84" s="9" t="s">
        <v>1623</v>
      </c>
      <c r="F84" s="4">
        <v>0</v>
      </c>
      <c r="G84" s="4">
        <v>10000</v>
      </c>
      <c r="H84" s="3"/>
      <c r="I84" s="19">
        <v>2000</v>
      </c>
      <c r="J84" s="19">
        <v>2000</v>
      </c>
      <c r="K84" s="19">
        <v>2000</v>
      </c>
      <c r="L84" s="19">
        <v>5000</v>
      </c>
      <c r="M84" s="19">
        <v>5000</v>
      </c>
      <c r="N84" s="19">
        <v>5000</v>
      </c>
      <c r="O84" s="19">
        <f t="shared" si="1"/>
        <v>21000</v>
      </c>
      <c r="P84" s="19">
        <v>3000</v>
      </c>
      <c r="Q84" s="19">
        <v>1809</v>
      </c>
      <c r="R84" s="19">
        <v>0</v>
      </c>
      <c r="S84" s="19">
        <v>500</v>
      </c>
      <c r="T84" s="19">
        <v>10000</v>
      </c>
      <c r="U84" s="19">
        <v>4864</v>
      </c>
      <c r="V84" s="19">
        <v>5000</v>
      </c>
      <c r="W84" s="19">
        <v>25000</v>
      </c>
      <c r="X84" s="19">
        <v>0</v>
      </c>
      <c r="Y84" s="19">
        <v>0</v>
      </c>
      <c r="Z84" s="19">
        <v>0</v>
      </c>
      <c r="AA84" s="19">
        <v>10000</v>
      </c>
      <c r="AB84" s="19">
        <v>0</v>
      </c>
      <c r="AC84" s="19">
        <v>60173</v>
      </c>
      <c r="AD84" s="19">
        <v>0</v>
      </c>
      <c r="AE84" s="19">
        <v>0</v>
      </c>
      <c r="AF84" s="19">
        <v>0</v>
      </c>
      <c r="AG84" s="19">
        <v>500</v>
      </c>
      <c r="AH84" s="19">
        <v>7045</v>
      </c>
      <c r="AI84" s="19">
        <v>7819</v>
      </c>
      <c r="AJ84" s="19">
        <v>0</v>
      </c>
      <c r="AK84" s="19">
        <v>11620</v>
      </c>
      <c r="AL84" s="19">
        <v>8621</v>
      </c>
      <c r="AM84" s="19">
        <v>11120</v>
      </c>
      <c r="AN84" s="19">
        <v>18518</v>
      </c>
      <c r="AO84" s="19">
        <v>10000</v>
      </c>
      <c r="AP84" s="19">
        <v>0</v>
      </c>
      <c r="AQ84" s="19">
        <v>75243</v>
      </c>
    </row>
    <row r="85" spans="1:43" x14ac:dyDescent="0.2">
      <c r="A85" s="3" t="s">
        <v>273</v>
      </c>
      <c r="B85" s="5"/>
      <c r="C85" s="3" t="s">
        <v>279</v>
      </c>
      <c r="D85" s="9"/>
      <c r="E85" s="9" t="s">
        <v>1624</v>
      </c>
      <c r="F85" s="4">
        <v>0</v>
      </c>
      <c r="G85" s="4">
        <v>30000</v>
      </c>
      <c r="H85" s="3"/>
      <c r="I85" s="19">
        <v>10000</v>
      </c>
      <c r="J85" s="19">
        <v>10000</v>
      </c>
      <c r="K85" s="19">
        <v>25000</v>
      </c>
      <c r="L85" s="19">
        <v>25000</v>
      </c>
      <c r="M85" s="19">
        <v>27000</v>
      </c>
      <c r="N85" s="19">
        <v>27000</v>
      </c>
      <c r="O85" s="19">
        <f t="shared" si="1"/>
        <v>124000</v>
      </c>
      <c r="P85" s="19">
        <v>500</v>
      </c>
      <c r="Q85" s="19">
        <v>5000</v>
      </c>
      <c r="R85" s="19">
        <v>0</v>
      </c>
      <c r="S85" s="19">
        <v>0</v>
      </c>
      <c r="T85" s="19">
        <v>10000</v>
      </c>
      <c r="U85" s="19">
        <v>10040</v>
      </c>
      <c r="V85" s="19">
        <v>10000</v>
      </c>
      <c r="W85" s="19">
        <v>9733</v>
      </c>
      <c r="X85" s="19">
        <v>0</v>
      </c>
      <c r="Y85" s="19">
        <v>0</v>
      </c>
      <c r="Z85" s="19">
        <v>0</v>
      </c>
      <c r="AA85" s="19">
        <v>5000</v>
      </c>
      <c r="AB85" s="19">
        <v>0</v>
      </c>
      <c r="AC85" s="19">
        <v>50273</v>
      </c>
      <c r="AD85" s="19">
        <v>500</v>
      </c>
      <c r="AE85" s="19">
        <v>5000</v>
      </c>
      <c r="AF85" s="19">
        <v>0</v>
      </c>
      <c r="AG85" s="19">
        <v>0</v>
      </c>
      <c r="AH85" s="19">
        <v>15265</v>
      </c>
      <c r="AI85" s="19">
        <v>14727</v>
      </c>
      <c r="AJ85" s="19">
        <v>0</v>
      </c>
      <c r="AK85" s="19">
        <v>9781</v>
      </c>
      <c r="AL85" s="19">
        <v>0</v>
      </c>
      <c r="AM85" s="19">
        <v>4659</v>
      </c>
      <c r="AN85" s="19">
        <v>26485</v>
      </c>
      <c r="AO85" s="19">
        <v>10259</v>
      </c>
      <c r="AP85" s="19">
        <v>0</v>
      </c>
      <c r="AQ85" s="19">
        <v>86676</v>
      </c>
    </row>
    <row r="86" spans="1:43" x14ac:dyDescent="0.2">
      <c r="A86" s="3" t="s">
        <v>161</v>
      </c>
      <c r="B86" s="5"/>
      <c r="C86" s="3" t="s">
        <v>163</v>
      </c>
      <c r="D86" s="9"/>
      <c r="E86" s="9" t="s">
        <v>1543</v>
      </c>
      <c r="F86" s="4"/>
      <c r="G86" s="4"/>
      <c r="H86" s="3"/>
      <c r="I86" s="19"/>
      <c r="J86" s="19"/>
      <c r="K86" s="19"/>
      <c r="L86" s="19"/>
      <c r="M86" s="19"/>
      <c r="N86" s="19"/>
      <c r="O86" s="19">
        <f t="shared" si="1"/>
        <v>0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</row>
    <row r="87" spans="1:43" x14ac:dyDescent="0.2">
      <c r="A87" s="3" t="s">
        <v>1609</v>
      </c>
      <c r="B87" s="5"/>
      <c r="C87" s="35" t="s">
        <v>281</v>
      </c>
      <c r="D87" s="9"/>
      <c r="E87" s="9" t="s">
        <v>924</v>
      </c>
      <c r="F87" s="4"/>
      <c r="G87" s="4">
        <v>50000</v>
      </c>
      <c r="H87" s="3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6" t="s">
        <v>1610</v>
      </c>
      <c r="B88" s="5"/>
      <c r="C88" s="37" t="s">
        <v>1611</v>
      </c>
      <c r="D88" s="9"/>
      <c r="E88" s="9" t="s">
        <v>1605</v>
      </c>
      <c r="F88" s="4"/>
      <c r="G88" s="4">
        <v>40000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5" t="s">
        <v>1612</v>
      </c>
      <c r="B89" s="5"/>
      <c r="C89" s="38" t="s">
        <v>1613</v>
      </c>
      <c r="D89" s="9"/>
      <c r="E89" s="9" t="s">
        <v>1606</v>
      </c>
      <c r="F89" s="4"/>
      <c r="G89" s="4">
        <v>5000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43" x14ac:dyDescent="0.2">
      <c r="A90" s="3" t="s">
        <v>1612</v>
      </c>
      <c r="B90" s="3"/>
      <c r="C90" s="3" t="s">
        <v>1614</v>
      </c>
      <c r="D90" s="3"/>
      <c r="E90" s="3" t="s">
        <v>1607</v>
      </c>
      <c r="F90" s="3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1615</v>
      </c>
      <c r="D91" s="3"/>
      <c r="E91" s="3" t="s">
        <v>1608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75</v>
      </c>
      <c r="B92" s="3"/>
      <c r="C92" s="3" t="s">
        <v>1617</v>
      </c>
      <c r="D92" s="3"/>
      <c r="E92" s="3" t="s">
        <v>1616</v>
      </c>
      <c r="F92" s="3"/>
      <c r="G92" s="4">
        <v>100000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79</v>
      </c>
      <c r="B93" s="3"/>
      <c r="C93" s="3" t="s">
        <v>1619</v>
      </c>
      <c r="D93" s="3"/>
      <c r="E93" s="3" t="s">
        <v>1618</v>
      </c>
      <c r="F93" s="3"/>
      <c r="G93" s="4">
        <v>50000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102</v>
      </c>
      <c r="B94" s="3"/>
      <c r="C94" s="3" t="s">
        <v>1621</v>
      </c>
      <c r="D94" s="3"/>
      <c r="E94" s="3" t="s">
        <v>1620</v>
      </c>
      <c r="F94" s="3"/>
      <c r="G94" s="4">
        <v>100000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75</v>
      </c>
      <c r="B95" s="3"/>
      <c r="C95" s="3" t="s">
        <v>1625</v>
      </c>
      <c r="D95" s="3"/>
      <c r="E95" s="3" t="s">
        <v>1626</v>
      </c>
      <c r="F95" s="3"/>
      <c r="G95" s="4"/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120</v>
      </c>
      <c r="B96" s="3"/>
      <c r="C96" s="3" t="s">
        <v>121</v>
      </c>
      <c r="D96" s="3"/>
      <c r="E96" s="3" t="s">
        <v>627</v>
      </c>
      <c r="F96" s="3"/>
      <c r="G96" s="4">
        <v>400000</v>
      </c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117</v>
      </c>
      <c r="B97" s="3"/>
      <c r="C97" s="3" t="s">
        <v>1627</v>
      </c>
      <c r="D97" s="3"/>
      <c r="E97" s="3" t="s">
        <v>1628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141</v>
      </c>
      <c r="B98" s="3"/>
      <c r="C98" s="3" t="s">
        <v>1629</v>
      </c>
      <c r="D98" s="3"/>
      <c r="E98" s="3" t="s">
        <v>1630</v>
      </c>
      <c r="F98" s="3"/>
      <c r="G98" s="4">
        <v>100000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1631</v>
      </c>
      <c r="D99" s="3"/>
      <c r="E99" s="3" t="s">
        <v>1632</v>
      </c>
      <c r="F99" s="3"/>
      <c r="G99" s="4">
        <v>30000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161</v>
      </c>
      <c r="B100" s="3"/>
      <c r="C100" s="3" t="s">
        <v>1633</v>
      </c>
      <c r="D100" s="3"/>
      <c r="E100" s="3" t="s">
        <v>1634</v>
      </c>
      <c r="F100" s="3"/>
      <c r="G100" s="4">
        <v>10000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4</v>
      </c>
      <c r="B101" s="3"/>
      <c r="C101" s="3" t="s">
        <v>3</v>
      </c>
      <c r="D101" s="3"/>
      <c r="E101" s="3" t="s">
        <v>1635</v>
      </c>
      <c r="F101" s="3"/>
      <c r="G101" s="4">
        <v>20000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222</v>
      </c>
      <c r="B102" s="3"/>
      <c r="C102" s="3" t="s">
        <v>221</v>
      </c>
      <c r="D102" s="3"/>
      <c r="E102" s="3" t="s">
        <v>792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239</v>
      </c>
      <c r="B103" s="3"/>
      <c r="C103" s="3" t="s">
        <v>238</v>
      </c>
      <c r="D103" s="3"/>
      <c r="E103" s="3" t="s">
        <v>1544</v>
      </c>
      <c r="F103" s="3"/>
      <c r="G103" s="4">
        <v>300000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241</v>
      </c>
      <c r="B104" s="3"/>
      <c r="C104" s="3" t="s">
        <v>1636</v>
      </c>
      <c r="D104" s="3"/>
      <c r="E104" s="3" t="s">
        <v>1637</v>
      </c>
      <c r="F104" s="3"/>
      <c r="G104" s="4">
        <v>50000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266</v>
      </c>
      <c r="B105" s="3"/>
      <c r="C105" s="3" t="s">
        <v>267</v>
      </c>
      <c r="D105" s="3"/>
      <c r="E105" s="3" t="s">
        <v>1638</v>
      </c>
      <c r="F105" s="3"/>
      <c r="G105" s="4">
        <v>100000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273</v>
      </c>
      <c r="B106" s="3"/>
      <c r="C106" s="3" t="s">
        <v>1639</v>
      </c>
      <c r="D106" s="3"/>
      <c r="E106" s="3" t="s">
        <v>1640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45</v>
      </c>
      <c r="B107" s="3"/>
      <c r="C107" s="3" t="s">
        <v>1641</v>
      </c>
      <c r="D107" s="3"/>
      <c r="E107" s="3" t="s">
        <v>1642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102</v>
      </c>
      <c r="B108" s="3"/>
      <c r="C108" s="3" t="s">
        <v>1643</v>
      </c>
      <c r="D108" s="3"/>
      <c r="E108" s="3" t="s">
        <v>1644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360</v>
      </c>
      <c r="B109" s="3"/>
      <c r="C109" s="3" t="s">
        <v>182</v>
      </c>
      <c r="D109" s="3"/>
      <c r="E109" s="3" t="s">
        <v>364</v>
      </c>
      <c r="F109" s="3"/>
      <c r="G109" s="4">
        <v>2000000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1647</v>
      </c>
      <c r="D110" s="3"/>
      <c r="E110" s="3" t="s">
        <v>1648</v>
      </c>
      <c r="F110" s="3"/>
      <c r="G110" s="4">
        <v>2000000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129</v>
      </c>
      <c r="B111" s="3"/>
      <c r="C111" s="3" t="s">
        <v>1649</v>
      </c>
      <c r="D111" s="3"/>
      <c r="E111" s="3" t="s">
        <v>399</v>
      </c>
      <c r="F111" s="3"/>
      <c r="G111" s="4">
        <v>200000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122</v>
      </c>
      <c r="B112" s="3"/>
      <c r="C112" s="3" t="s">
        <v>150</v>
      </c>
      <c r="D112" s="3"/>
      <c r="E112" s="3" t="s">
        <v>1650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3"/>
      <c r="B113" s="5"/>
      <c r="C113" s="3"/>
      <c r="D113" s="9"/>
      <c r="E113" s="9"/>
      <c r="F113" s="4"/>
      <c r="G113" s="4"/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3"/>
      <c r="B114" s="5"/>
      <c r="C114" s="3"/>
      <c r="D114" s="9"/>
      <c r="E114" s="9"/>
      <c r="F114" s="4"/>
      <c r="G114" s="4"/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/>
      <c r="B115" s="5"/>
      <c r="C115" s="3"/>
      <c r="D115" s="9"/>
      <c r="E115" s="9"/>
      <c r="F115" s="4"/>
      <c r="G115" s="4"/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11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4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4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5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3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3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4.45" customHeight="1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11"/>
      <c r="G221" s="11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4"/>
      <c r="G222" s="4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12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4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4"/>
      <c r="G229" s="4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4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s="22" customFormat="1" x14ac:dyDescent="0.2">
      <c r="A241" s="20"/>
      <c r="B241" s="21"/>
      <c r="C241" s="20"/>
      <c r="D241" s="23"/>
      <c r="E241" s="23"/>
      <c r="F241" s="24"/>
      <c r="G241" s="24"/>
      <c r="H241" s="20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spans="1:24" x14ac:dyDescent="0.2">
      <c r="A242" s="3"/>
      <c r="B242" s="5"/>
      <c r="C242" s="3"/>
      <c r="D242" s="9"/>
      <c r="E242" s="9"/>
      <c r="F242" s="4"/>
      <c r="G242" s="4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x14ac:dyDescent="0.2">
      <c r="A249" s="3"/>
      <c r="B249" s="5"/>
      <c r="C249" s="3"/>
      <c r="D249" s="9"/>
      <c r="E249" s="9"/>
      <c r="F249" s="4"/>
      <c r="G249" s="12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spans="1:24" x14ac:dyDescent="0.2">
      <c r="A250" s="3"/>
      <c r="B250" s="5"/>
      <c r="C250" s="3"/>
      <c r="D250" s="9"/>
      <c r="E250" s="9"/>
      <c r="F250" s="4"/>
      <c r="G250" s="12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11"/>
      <c r="G251" s="26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4"/>
      <c r="G252" s="4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4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4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4"/>
      <c r="G259" s="4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s="32" customFormat="1" x14ac:dyDescent="0.2">
      <c r="A361" s="27"/>
      <c r="B361" s="28"/>
      <c r="C361" s="27"/>
      <c r="D361" s="29"/>
      <c r="E361" s="29"/>
      <c r="F361" s="30"/>
      <c r="G361" s="30"/>
      <c r="H361" s="27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27"/>
    </row>
    <row r="362" spans="1:24" s="32" customFormat="1" x14ac:dyDescent="0.2">
      <c r="A362" s="27"/>
      <c r="B362" s="28"/>
      <c r="C362" s="27"/>
      <c r="D362" s="29"/>
      <c r="E362" s="29"/>
      <c r="F362" s="30"/>
      <c r="G362" s="30"/>
      <c r="H362" s="27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7"/>
    </row>
  </sheetData>
  <autoFilter ref="A1:AQ108" xr:uid="{00000000-0001-0000-0000-000000000000}"/>
  <phoneticPr fontId="2" type="noConversion"/>
  <conditionalFormatting sqref="E1">
    <cfRule type="duplicateValues" dxfId="6" priority="6"/>
    <cfRule type="duplicateValues" dxfId="5" priority="7"/>
  </conditionalFormatting>
  <conditionalFormatting sqref="E1:E1048576">
    <cfRule type="duplicateValues" dxfId="4" priority="1"/>
  </conditionalFormatting>
  <conditionalFormatting sqref="E113:E1048576 E1:E73 E75:E106">
    <cfRule type="duplicateValues" dxfId="3" priority="2"/>
  </conditionalFormatting>
  <conditionalFormatting sqref="E366:E1048576 E1:E73 E113:E362 E75:E89">
    <cfRule type="duplicateValues" dxfId="2" priority="20"/>
  </conditionalFormatting>
  <conditionalFormatting sqref="E366:E1048576 E1:E73 E113:E362 E75:E95">
    <cfRule type="duplicateValues" dxfId="1" priority="18"/>
    <cfRule type="duplicateValues" dxfId="0" priority="19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2025-11-12T05:05:27Z</dcterms:modified>
</cp:coreProperties>
</file>